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birchoudhary/Downloads/"/>
    </mc:Choice>
  </mc:AlternateContent>
  <xr:revisionPtr revIDLastSave="0" documentId="13_ncr:1_{10B1096B-D08E-914F-B8C4-26EAE06F0483}" xr6:coauthVersionLast="47" xr6:coauthVersionMax="47" xr10:uidLastSave="{00000000-0000-0000-0000-000000000000}"/>
  <bookViews>
    <workbookView xWindow="0" yWindow="660" windowWidth="29400" windowHeight="17300" activeTab="1" xr2:uid="{51658058-8315-A640-B733-1DFC39D6EEC8}"/>
  </bookViews>
  <sheets>
    <sheet name="Historical Data" sheetId="1" r:id="rId1"/>
    <sheet name="DCF Mode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3" l="1"/>
  <c r="C8" i="3"/>
  <c r="D7" i="3"/>
  <c r="C7" i="3"/>
  <c r="D6" i="3"/>
  <c r="C6" i="3"/>
  <c r="D5" i="3"/>
  <c r="C5" i="3"/>
  <c r="B87" i="3"/>
  <c r="B77" i="3"/>
  <c r="C57" i="3"/>
  <c r="C58" i="3" s="1"/>
  <c r="B49" i="3"/>
  <c r="B48" i="3"/>
  <c r="B47" i="3"/>
  <c r="B51" i="3" s="1"/>
  <c r="B46" i="3"/>
  <c r="F38" i="1"/>
  <c r="E38" i="1"/>
  <c r="D38" i="1"/>
  <c r="C38" i="1"/>
  <c r="B38" i="1"/>
  <c r="F32" i="1"/>
  <c r="E32" i="1"/>
  <c r="D32" i="1"/>
  <c r="C32" i="1"/>
  <c r="B32" i="1"/>
  <c r="F28" i="1"/>
  <c r="E28" i="1"/>
  <c r="D28" i="1"/>
  <c r="C28" i="1"/>
  <c r="B28" i="1"/>
  <c r="F24" i="1"/>
  <c r="E24" i="1"/>
  <c r="D24" i="1"/>
  <c r="C24" i="1"/>
  <c r="B24" i="1"/>
  <c r="F8" i="1"/>
  <c r="F34" i="1" s="1"/>
  <c r="E8" i="1"/>
  <c r="E34" i="1" s="1"/>
  <c r="D8" i="1"/>
  <c r="D34" i="1" s="1"/>
  <c r="C8" i="1"/>
  <c r="C34" i="1" s="1"/>
  <c r="B8" i="1"/>
  <c r="G66" i="3" l="1"/>
  <c r="C66" i="3"/>
  <c r="D66" i="3"/>
  <c r="E66" i="3"/>
  <c r="F66" i="3"/>
  <c r="C59" i="3"/>
  <c r="C60" i="3" s="1"/>
  <c r="C64" i="3" s="1"/>
  <c r="D57" i="3"/>
  <c r="C62" i="3"/>
  <c r="C61" i="3"/>
  <c r="C63" i="3"/>
  <c r="B33" i="1"/>
  <c r="E33" i="1"/>
  <c r="F33" i="1"/>
  <c r="F11" i="1"/>
  <c r="F31" i="1" s="1"/>
  <c r="C30" i="1"/>
  <c r="D33" i="1"/>
  <c r="C35" i="1"/>
  <c r="C11" i="1"/>
  <c r="C31" i="1" s="1"/>
  <c r="E30" i="1"/>
  <c r="D35" i="1"/>
  <c r="C33" i="1"/>
  <c r="B11" i="1"/>
  <c r="B31" i="1" s="1"/>
  <c r="D30" i="1"/>
  <c r="D11" i="1"/>
  <c r="D31" i="1" s="1"/>
  <c r="F30" i="1"/>
  <c r="B34" i="1"/>
  <c r="E35" i="1"/>
  <c r="E11" i="1"/>
  <c r="E31" i="1" s="1"/>
  <c r="F35" i="1"/>
  <c r="B35" i="1"/>
  <c r="C67" i="3" l="1"/>
  <c r="D61" i="3"/>
  <c r="D63" i="3"/>
  <c r="D58" i="3"/>
  <c r="D59" i="3" s="1"/>
  <c r="D60" i="3" s="1"/>
  <c r="D64" i="3" s="1"/>
  <c r="D62" i="3"/>
  <c r="E57" i="3"/>
  <c r="F57" i="3" l="1"/>
  <c r="E61" i="3"/>
  <c r="E63" i="3"/>
  <c r="E58" i="3"/>
  <c r="E59" i="3" s="1"/>
  <c r="E60" i="3" s="1"/>
  <c r="E62" i="3"/>
  <c r="D67" i="3"/>
  <c r="G57" i="3" l="1"/>
  <c r="F62" i="3"/>
  <c r="F58" i="3"/>
  <c r="F59" i="3" s="1"/>
  <c r="F60" i="3" s="1"/>
  <c r="F61" i="3"/>
  <c r="F63" i="3"/>
  <c r="E64" i="3"/>
  <c r="E67" i="3" l="1"/>
  <c r="F64" i="3"/>
  <c r="F67" i="3" s="1"/>
  <c r="G62" i="3"/>
  <c r="G61" i="3"/>
  <c r="G63" i="3"/>
  <c r="G58" i="3"/>
  <c r="B83" i="3" l="1"/>
  <c r="B84" i="3" s="1"/>
  <c r="B85" i="3" s="1"/>
  <c r="G59" i="3"/>
  <c r="G60" i="3" s="1"/>
  <c r="G64" i="3" s="1"/>
  <c r="D100" i="3" a="1"/>
  <c r="D100" i="3" s="1"/>
  <c r="E108" i="3" a="1"/>
  <c r="E108" i="3" s="1"/>
  <c r="F100" i="3" a="1"/>
  <c r="F100" i="3" s="1"/>
  <c r="B99" i="3" a="1"/>
  <c r="B99" i="3" s="1"/>
  <c r="D99" i="3" a="1"/>
  <c r="D99" i="3" s="1"/>
  <c r="F107" i="3" a="1"/>
  <c r="F107" i="3" s="1"/>
  <c r="B102" i="3" a="1"/>
  <c r="B102" i="3" s="1"/>
  <c r="D102" i="3" a="1"/>
  <c r="D102" i="3" s="1"/>
  <c r="B109" i="3" a="1"/>
  <c r="B109" i="3" s="1"/>
  <c r="E107" i="3" a="1"/>
  <c r="E107" i="3" s="1"/>
  <c r="E103" i="3" a="1"/>
  <c r="E103" i="3" s="1"/>
  <c r="D101" i="3" a="1"/>
  <c r="D101" i="3" s="1"/>
  <c r="B103" i="3" a="1"/>
  <c r="B103" i="3" s="1"/>
  <c r="B108" i="3" a="1"/>
  <c r="B108" i="3" s="1"/>
  <c r="B110" i="3" a="1"/>
  <c r="B110" i="3" s="1"/>
  <c r="C107" i="3" a="1"/>
  <c r="C107" i="3" s="1"/>
  <c r="E111" i="3" a="1"/>
  <c r="E111" i="3" s="1"/>
  <c r="F111" i="3" a="1"/>
  <c r="F111" i="3" s="1"/>
  <c r="F103" i="3" a="1"/>
  <c r="F103" i="3" s="1"/>
  <c r="E101" i="3" a="1"/>
  <c r="E101" i="3" s="1"/>
  <c r="C102" i="3" a="1"/>
  <c r="C102" i="3" s="1"/>
  <c r="C108" i="3" a="1"/>
  <c r="C108" i="3" s="1"/>
  <c r="F108" i="3" a="1"/>
  <c r="F108" i="3" s="1"/>
  <c r="D110" i="3" a="1"/>
  <c r="D110" i="3" s="1"/>
  <c r="F102" i="3" a="1"/>
  <c r="F102" i="3" s="1"/>
  <c r="E109" i="3" a="1"/>
  <c r="E109" i="3" s="1"/>
  <c r="C110" i="3" a="1"/>
  <c r="C110" i="3" s="1"/>
  <c r="F99" i="3" a="1"/>
  <c r="F99" i="3" s="1"/>
  <c r="E99" i="3" a="1"/>
  <c r="E99" i="3" s="1"/>
  <c r="E100" i="3" a="1"/>
  <c r="E100" i="3" s="1"/>
  <c r="D111" i="3" a="1"/>
  <c r="D111" i="3" s="1"/>
  <c r="G67" i="3" l="1"/>
  <c r="B70" i="3" s="1"/>
  <c r="B73" i="3"/>
  <c r="B74" i="3" s="1"/>
  <c r="B75" i="3" s="1"/>
  <c r="C99" i="3" a="1"/>
  <c r="C99" i="3" s="1"/>
  <c r="B111" i="3" a="1"/>
  <c r="B111" i="3" s="1"/>
  <c r="D107" i="3" a="1"/>
  <c r="D107" i="3" s="1"/>
  <c r="B107" i="3" a="1"/>
  <c r="B107" i="3" s="1"/>
  <c r="C101" i="3" a="1"/>
  <c r="C101" i="3" s="1"/>
  <c r="B100" i="3" a="1"/>
  <c r="B100" i="3" s="1"/>
  <c r="C103" i="3" a="1"/>
  <c r="C103" i="3" s="1"/>
  <c r="E102" i="3" a="1"/>
  <c r="E102" i="3" s="1"/>
  <c r="D109" i="3" a="1"/>
  <c r="D109" i="3" s="1"/>
  <c r="F110" i="3" a="1"/>
  <c r="F110" i="3" s="1"/>
  <c r="D108" i="3" a="1"/>
  <c r="D108" i="3" s="1"/>
  <c r="C100" i="3" a="1"/>
  <c r="C100" i="3" s="1"/>
  <c r="F109" i="3" a="1"/>
  <c r="F109" i="3" s="1"/>
  <c r="B101" i="3" a="1"/>
  <c r="B101" i="3" s="1"/>
  <c r="F101" i="3" a="1"/>
  <c r="F101" i="3" s="1"/>
  <c r="C111" i="3" a="1"/>
  <c r="C111" i="3" s="1"/>
  <c r="C109" i="3" a="1"/>
  <c r="C109" i="3" s="1"/>
  <c r="E110" i="3" a="1"/>
  <c r="E110" i="3" s="1"/>
  <c r="D103" i="3" a="1"/>
  <c r="D103" i="3" s="1"/>
  <c r="B86" i="3" l="1"/>
  <c r="B88" i="3" s="1"/>
  <c r="B89" i="3" s="1"/>
  <c r="B90" i="3" s="1"/>
  <c r="B76" i="3"/>
  <c r="B78" i="3" s="1"/>
  <c r="B79" i="3" s="1"/>
  <c r="B92" i="3" l="1"/>
  <c r="B8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Nihaal Choudhary</author>
  </authors>
  <commentList>
    <comment ref="B6" authorId="0" shapeId="0" xr:uid="{597CF3BD-D494-1A40-8E5E-3147E33703FA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Source: SEC EDGAR, Broadcom FY2022 10-K, https://www.sec.gov/Archives/edgar/data/1730168/000173016822000118/avgo-20221030.htm</t>
        </r>
      </text>
    </comment>
    <comment ref="D6" authorId="0" shapeId="0" xr:uid="{87B8EE84-B330-0543-B22E-F6C4E6E03A0C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Source: SEC EDGAR, Broadcom FY2024 10-K, https://www.sec.gov/Archives/edgar/data/1730168/000173016824000139/avgo-20241103.htm</t>
        </r>
      </text>
    </comment>
    <comment ref="F6" authorId="0" shapeId="0" xr:uid="{9F604BC6-3E30-B44A-ACDE-C38C72195C0D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Source: SEC EDGAR, Broadcom FY2025 10-K, https://www.sec.gov/Archives/edgar/data/1730168/000173016825000121/avgo-20251102.htm</t>
        </r>
      </text>
    </comment>
    <comment ref="B17" authorId="0" shapeId="0" xr:uid="{725E7D97-B70B-9941-B279-E50977C312EB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Post 10-for-1 split (Jul 2024). FY2021 restated from as-reported pre-split $15.00.</t>
        </r>
      </text>
    </comment>
    <comment ref="B20" authorId="0" shapeId="0" xr:uid="{75665599-4881-724D-A722-641F5E5D930E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Amortization of intangibles &amp; ROU + depreciation, per cash flow statement.</t>
        </r>
      </text>
    </comment>
    <comment ref="B36" authorId="0" shapeId="0" xr:uid="{EC38691F-94B5-654A-B6ED-7E632B901B9D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Income before income taxes. Source: SEC EDGAR 10-K filings (FY2022, FY2024, FY2025).</t>
        </r>
      </text>
    </comment>
    <comment ref="B39" authorId="0" shapeId="0" xr:uid="{47226A7C-9553-6C40-8363-1529D6AF2EAD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Cash impact of changes in trade receivables + inventory + accounts payable + employee compensation, per cash flow statement (positive = cash inflow). Source: SEC EDGAR 10-Ks.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Nihaal Choudhary</author>
  </authors>
  <commentList>
    <comment ref="B20" authorId="0" shapeId="0" xr:uid="{AA9C19FC-86E5-584F-8895-8DBC0B072ED8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Held near FY2025 normalized level (FY2025 actual 39.9%). User-updatable.</t>
        </r>
      </text>
    </comment>
    <comment ref="B21" authorId="0" shapeId="0" xr:uid="{79032251-6B62-DD4E-96A1-E0182774AF85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U.S. statutory rate, used as normalized cash tax rate (reported effective rate is volatile).</t>
        </r>
      </text>
    </comment>
    <comment ref="B22" authorId="0" shapeId="0" xr:uid="{790095AE-4F95-8A44-A803-C907CE279F90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FY2025 actual D&amp;A/revenue. Declines modestly as acquired intangibles amortize — user-updatable.</t>
        </r>
      </text>
    </comment>
    <comment ref="B23" authorId="0" shapeId="0" xr:uid="{0C09DA18-40DA-B94F-ABD1-2A7D42ED96D1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Near FY2025 actual (~1%); kept slightly higher for AI capacity. User-updatable.</t>
        </r>
      </text>
    </comment>
    <comment ref="B24" authorId="0" shapeId="0" xr:uid="{C7AF4292-33F8-2445-8E69-9415132D2104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Incremental working capital investment per dollar of revenue growth. User-updatable.</t>
        </r>
      </text>
    </comment>
    <comment ref="B27" authorId="0" shapeId="0" xr:uid="{1EB715D2-F0CD-7844-BF28-CE1EA728A717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Long-term GDP-like growth. User-updatable.</t>
        </r>
      </text>
    </comment>
    <comment ref="B28" authorId="0" shapeId="0" xr:uid="{4AFDA664-6B30-394F-AD5A-3D34C0116B0E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Exit multiple for terminal value. User-updatable.</t>
        </r>
      </text>
    </comment>
    <comment ref="B31" authorId="0" shapeId="0" xr:uid="{11F01C68-F458-4A4B-893A-586ADAD25B98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PLACEHOLDER (~$462 post Q2-FY26 earnings, 6/3/2026, third-party quote). Not an official source — update with live price.</t>
        </r>
      </text>
    </comment>
    <comment ref="B32" authorId="0" shapeId="0" xr:uid="{E112AD9F-9AFF-EB4E-B4B4-7AF37E0866E5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PLACEHOLDER (~4,730mm, third-party). Update with diluted share count.</t>
        </r>
      </text>
    </comment>
    <comment ref="B33" authorId="0" shapeId="0" xr:uid="{038FCDA0-7827-4549-9360-004E8ECB84E7}">
      <text>
        <r>
          <rPr>
            <b/>
            <sz val="10"/>
            <color rgb="FF000000"/>
            <rFont val="Tahoma"/>
            <family val="2"/>
          </rPr>
          <t>FY2025 net debt (total debt - cash) from Historical Data tab, per SEC FY2025 10-K. Cross-sheet live link unavailable on this client; value mirrored from Historical Data!F28 = 48,958.</t>
        </r>
      </text>
    </comment>
    <comment ref="B36" authorId="0" shapeId="0" xr:uid="{7C316D58-7BF3-E345-A06E-01CC201E36D8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FY2025 total net revenue from Historical Data tab (SEC FY2025 10-K).</t>
        </r>
      </text>
    </comment>
    <comment ref="B37" authorId="0" shapeId="0" xr:uid="{F406D913-3878-2E48-9589-2FD95C6698AF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FY2025 operating income from Historical Data tab (SEC FY2025 10-K).</t>
        </r>
      </text>
    </comment>
    <comment ref="B38" authorId="0" shapeId="0" xr:uid="{2B3362A8-B97C-4F44-975A-C965F723F90E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FY2025 D&amp;A from Historical Data tab (SEC FY2025 10-K).</t>
        </r>
      </text>
    </comment>
    <comment ref="B39" authorId="0" shapeId="0" xr:uid="{B71B8BD7-F425-384B-B2CE-18CF5592CBBC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FY2025 capex from Historical Data tab (SEC FY2025 10-K).</t>
        </r>
      </text>
    </comment>
    <comment ref="B42" authorId="0" shapeId="0" xr:uid="{0E97E211-EFB7-1A49-B6F8-63072ED723D0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10-yr U.S. Treasury yield proxy. User-updatable.</t>
        </r>
      </text>
    </comment>
    <comment ref="B43" authorId="0" shapeId="0" xr:uid="{3EB8AB5D-9173-2547-8806-60F70C70233E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Market equity risk premium. User-updatable.</t>
        </r>
      </text>
    </comment>
    <comment ref="B44" authorId="0" shapeId="0" xr:uid="{CBAFA37A-6EF7-B142-AF60-E5BF99F59908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PLACEHOLDER (~1.45, third-party). Update with preferred beta.</t>
        </r>
      </text>
    </comment>
    <comment ref="B45" authorId="0" shapeId="0" xr:uid="{2ED54DDB-784C-574E-AF53-590DB66C1C5B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Approx. weighted coupon on outstanding debt. User-updatable.</t>
        </r>
      </text>
    </comment>
    <comment ref="B50" authorId="0" shapeId="0" xr:uid="{E1ED6386-76FA-4940-88F1-E49F651262C0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FY2025 total debt (LT + current) from SEC 10-K, mirrored from Historical Data tab.</t>
        </r>
      </text>
    </comment>
    <comment ref="B57" authorId="0" shapeId="0" xr:uid="{70463A99-A51F-AC45-AB38-16DCC00DC5BB}">
      <text>
        <r>
          <rPr>
            <b/>
            <sz val="10"/>
            <color rgb="FF000000"/>
            <rFont val="Tahoma"/>
            <family val="2"/>
          </rPr>
          <t>Nihaal Choudhary:</t>
        </r>
        <r>
          <rPr>
            <sz val="10"/>
            <color rgb="FF000000"/>
            <rFont val="Tahoma"/>
            <family val="2"/>
          </rPr>
          <t xml:space="preserve">
FY2025 revenue from SEC 10-K (Historical Data tab).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<sst xmlns="http://schemas.openxmlformats.org/spreadsheetml/2006/main" count="134" uniqueCount="121">
  <si>
    <t>Fiscal Year</t>
  </si>
  <si>
    <t>FY2021</t>
  </si>
  <si>
    <t>FY2022</t>
  </si>
  <si>
    <t>FY2023</t>
  </si>
  <si>
    <t>FY2024</t>
  </si>
  <si>
    <t>Total net revenue</t>
  </si>
  <si>
    <t>Gross profit</t>
  </si>
  <si>
    <t>Net income</t>
  </si>
  <si>
    <t>BALANCE SHEET</t>
  </si>
  <si>
    <t>FY2025</t>
  </si>
  <si>
    <t>Broadcom Inc. (AVGO) — 5-Year Financial Summary</t>
  </si>
  <si>
    <t>$ in millions except per-share data. Fiscal year ends Sunday closest to Oct 31. Source: SEC 10-K filings.</t>
  </si>
  <si>
    <t>REVENUE BY SEGMENT</t>
  </si>
  <si>
    <t xml:space="preserve">  Semiconductor solutions</t>
  </si>
  <si>
    <t xml:space="preserve">  Infrastructure software</t>
  </si>
  <si>
    <t>PROFITABILITY</t>
  </si>
  <si>
    <t xml:space="preserve">  Cost of revenue</t>
  </si>
  <si>
    <t xml:space="preserve">  Research &amp; development</t>
  </si>
  <si>
    <t xml:space="preserve">  Selling, general &amp; administrative</t>
  </si>
  <si>
    <t>Operating income (EBIT)</t>
  </si>
  <si>
    <t xml:space="preserve">  Interest expense</t>
  </si>
  <si>
    <t xml:space="preserve">  Diluted EPS ($, post-split)</t>
  </si>
  <si>
    <t xml:space="preserve">  Diluted shares (mm, post-split)</t>
  </si>
  <si>
    <t>CASH FLOW</t>
  </si>
  <si>
    <t xml:space="preserve">  Depreciation &amp; amortization</t>
  </si>
  <si>
    <t xml:space="preserve">  Stock-based compensation</t>
  </si>
  <si>
    <t xml:space="preserve">  Cash flow from operations</t>
  </si>
  <si>
    <t xml:space="preserve">  Capital expenditures</t>
  </si>
  <si>
    <t>Free cash flow</t>
  </si>
  <si>
    <t xml:space="preserve">  Cash &amp; equivalents</t>
  </si>
  <si>
    <t xml:space="preserve">  Total debt (LT + current)</t>
  </si>
  <si>
    <t>Net debt</t>
  </si>
  <si>
    <t>KEY RATIOS</t>
  </si>
  <si>
    <t xml:space="preserve">  Revenue growth %</t>
  </si>
  <si>
    <t xml:space="preserve">  Gross margin %</t>
  </si>
  <si>
    <t xml:space="preserve">  EBITDA</t>
  </si>
  <si>
    <t xml:space="preserve">  EBITDA margin %</t>
  </si>
  <si>
    <t xml:space="preserve">  D&amp;A as % of revenue</t>
  </si>
  <si>
    <t xml:space="preserve">  Capex as % of revenue</t>
  </si>
  <si>
    <t xml:space="preserve">  Pre-tax income</t>
  </si>
  <si>
    <t xml:space="preserve">  Income tax expense (benefit)</t>
  </si>
  <si>
    <t xml:space="preserve">  Effective tax rate %</t>
  </si>
  <si>
    <t xml:space="preserve">  Net working capital change</t>
  </si>
  <si>
    <t>Broadcom Inc. (AVGO) — Discounted Cash Flow Model</t>
  </si>
  <si>
    <t>$ in millions except per-share. Base year FY2025 from SEC 10-K (Historical Data tab). Market inputs are user-updatable placeholders — update with live figures.</t>
  </si>
  <si>
    <t>ASSUMPTIONS</t>
  </si>
  <si>
    <t>Operating assumptions</t>
  </si>
  <si>
    <t xml:space="preserve">  EBIT (operating) margin %</t>
  </si>
  <si>
    <t xml:space="preserve">  Cash tax rate %</t>
  </si>
  <si>
    <t xml:space="preserve">  Δ NWC as % of Δ revenue</t>
  </si>
  <si>
    <t>Terminal value</t>
  </si>
  <si>
    <t xml:space="preserve">  Perpetuity growth rate (g)</t>
  </si>
  <si>
    <t xml:space="preserve">  Terminal EV/EBITDA multiple</t>
  </si>
  <si>
    <t>Market inputs (placeholders — update)</t>
  </si>
  <si>
    <t xml:space="preserve">  Current share price ($)</t>
  </si>
  <si>
    <t xml:space="preserve">  Shares outstanding (mm)</t>
  </si>
  <si>
    <t xml:space="preserve">  Net debt ($mm)</t>
  </si>
  <si>
    <t>Base year FY2025 (from Historical Data / SEC 10-K)</t>
  </si>
  <si>
    <t xml:space="preserve">  Revenue</t>
  </si>
  <si>
    <t xml:space="preserve">  EBIT</t>
  </si>
  <si>
    <t xml:space="preserve">  D&amp;A</t>
  </si>
  <si>
    <t xml:space="preserve">  Capex</t>
  </si>
  <si>
    <t>WACC (CAPM)</t>
  </si>
  <si>
    <t xml:space="preserve">  Risk-free rate (Rf)</t>
  </si>
  <si>
    <t xml:space="preserve">  Equity risk premium (ERP)</t>
  </si>
  <si>
    <t xml:space="preserve">  Beta (β)</t>
  </si>
  <si>
    <t xml:space="preserve">  Pre-tax cost of debt</t>
  </si>
  <si>
    <t xml:space="preserve">  Tax rate (for debt shield)</t>
  </si>
  <si>
    <t xml:space="preserve">  Cost of equity = Rf + β×ERP</t>
  </si>
  <si>
    <t xml:space="preserve">  After-tax cost of debt</t>
  </si>
  <si>
    <t xml:space="preserve">  Market value of equity</t>
  </si>
  <si>
    <t xml:space="preserve">  Total debt</t>
  </si>
  <si>
    <t xml:space="preserve">  WACC</t>
  </si>
  <si>
    <t>DCF FORECAST — UNLEVERED FREE CASH FLOW</t>
  </si>
  <si>
    <t>FY2026E</t>
  </si>
  <si>
    <t>FY2027E</t>
  </si>
  <si>
    <t>FY2028E</t>
  </si>
  <si>
    <t>FY2029E</t>
  </si>
  <si>
    <t>FY2030E</t>
  </si>
  <si>
    <t xml:space="preserve">  Less: cash taxes</t>
  </si>
  <si>
    <t xml:space="preserve">  NOPAT</t>
  </si>
  <si>
    <t xml:space="preserve">  Plus: D&amp;A</t>
  </si>
  <si>
    <t xml:space="preserve">  Less: capex</t>
  </si>
  <si>
    <t xml:space="preserve">  Less: Δ NWC</t>
  </si>
  <si>
    <t xml:space="preserve">  Unlevered FCF</t>
  </si>
  <si>
    <t xml:space="preserve">  Discount period</t>
  </si>
  <si>
    <t xml:space="preserve">  Discount factor @ WACC</t>
  </si>
  <si>
    <t xml:space="preserve">  PV of FCF</t>
  </si>
  <si>
    <t>TERMINAL VALUE &amp; VALUATION</t>
  </si>
  <si>
    <t>Sum of PV of explicit FCF (FY26–FY30)</t>
  </si>
  <si>
    <t>Method 1: Perpetuity Growth (Gordon)</t>
  </si>
  <si>
    <t xml:space="preserve">  Terminal FCF (FY2030 × (1+g))</t>
  </si>
  <si>
    <t xml:space="preserve">  Terminal value @ end FY2030</t>
  </si>
  <si>
    <t xml:space="preserve">  PV of terminal value</t>
  </si>
  <si>
    <t xml:space="preserve">  Enterprise value</t>
  </si>
  <si>
    <t xml:space="preserve">  Less: net debt</t>
  </si>
  <si>
    <t xml:space="preserve">  Equity value</t>
  </si>
  <si>
    <t xml:space="preserve">  Implied value per share</t>
  </si>
  <si>
    <t xml:space="preserve">  Upside / (downside) vs price</t>
  </si>
  <si>
    <t>Method 2: Exit Multiple (EV/EBITDA)</t>
  </si>
  <si>
    <t xml:space="preserve">  Terminal EBITDA (FY2030)</t>
  </si>
  <si>
    <t xml:space="preserve">  Terminal value (EBITDA × multiple)</t>
  </si>
  <si>
    <t>Average implied value per share</t>
  </si>
  <si>
    <t>SENSITIVITY — Implied Share Price</t>
  </si>
  <si>
    <t>Table 1: Gordon growth — WACC (rows) × perpetuity g (cols)</t>
  </si>
  <si>
    <t>WACC \ g</t>
  </si>
  <si>
    <t>Table 2: Exit multiple — WACC (rows) × EV/EBITDA (cols)</t>
  </si>
  <si>
    <t>WACC \ x</t>
  </si>
  <si>
    <t>EXECUTIVE SUMMARY</t>
  </si>
  <si>
    <t>Method</t>
  </si>
  <si>
    <t>Implied $/share</t>
  </si>
  <si>
    <t>vs. current price</t>
  </si>
  <si>
    <t xml:space="preserve">  Perpetuity growth (Gordon)</t>
  </si>
  <si>
    <t xml:space="preserve">  Exit multiple (EV/EBITDA)</t>
  </si>
  <si>
    <t xml:space="preserve">  Average</t>
  </si>
  <si>
    <t xml:space="preserve">  Current share price (input)</t>
  </si>
  <si>
    <t>How this DCF works</t>
  </si>
  <si>
    <t>We project Broadcom's unlevered free cash flow for five years (FY2026–FY2030), starting from FY2025 actuals (SEC 10-K). Revenue grows at a moderating rate (18% → 8%); EBIT is taxed at a normalized cash rate, then D&amp;A is added back and capex and incremental working capital subtracted to get free cash flow.</t>
  </si>
  <si>
    <t>Each year's cash flow is discounted to today at the WACC (the blended cost of equity and debt), computed via CAPM at ~11.3%. A terminal value captures all cash flows beyond FY2030, estimated two ways: a perpetuity-growth (Gordon) method and an exit EV/EBITDA multiple.</t>
  </si>
  <si>
    <t>Enterprise value = PV of the 5-year cash flows + PV of terminal value. Subtracting net debt gives equity value, divided by shares outstanding to get the implied price per share.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</si>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</sst>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0.0%;\(0.0%\);\-"/>
    <numFmt numFmtId="166" formatCode="&quot;$&quot;0.00"/>
    <numFmt numFmtId="167" formatCode="0.000"/>
    <numFmt numFmtId="168" formatCode="&quot;$&quot;#,##0.00;\(&quot;$&quot;#,##0.00\);\-"/>
    <numFmt numFmtId="169" formatCode="&quot;$&quot;#,##0"/>
    <numFmt numFmtId="170" formatCode="&quot;$&quot;#,##0.00"/>
    <numFmt numFmtId="171" formatCode="0.0%;\(0.0%\)"/>
  </numFmts>
  <fonts count="1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1F4E78"/>
      <name val="Calibri"/>
      <family val="2"/>
      <scheme val="minor"/>
    </font>
    <font>
      <sz val="12"/>
      <color rgb="FF008000"/>
      <name val="Calibri"/>
      <family val="2"/>
      <scheme val="minor"/>
    </font>
    <font>
      <b/>
      <i/>
      <sz val="9"/>
      <color rgb="FFFFFFFF"/>
      <name val="Calibri"/>
      <family val="2"/>
      <scheme val="minor"/>
    </font>
    <font>
      <b/>
      <i/>
      <sz val="9"/>
      <color rgb="FF666666"/>
      <name val="Calibri"/>
      <family val="2"/>
      <scheme val="minor"/>
    </font>
    <font>
      <b/>
      <i/>
      <sz val="9"/>
      <color rgb="FF1F4E78"/>
      <name val="Calibri"/>
      <family val="2"/>
      <scheme val="minor"/>
    </font>
    <font>
      <i/>
      <sz val="10"/>
      <color rgb="FF66666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  <xf numFmtId="164" fontId="7" fillId="0" borderId="0" xfId="0" applyNumberFormat="1" applyFont="1"/>
    <xf numFmtId="164" fontId="8" fillId="0" borderId="0" xfId="0" applyNumberFormat="1" applyFont="1"/>
    <xf numFmtId="3" fontId="8" fillId="0" borderId="0" xfId="0" applyNumberFormat="1" applyFont="1"/>
    <xf numFmtId="0" fontId="7" fillId="0" borderId="0" xfId="0" applyFont="1"/>
    <xf numFmtId="165" fontId="7" fillId="0" borderId="0" xfId="0" applyNumberFormat="1" applyFont="1"/>
    <xf numFmtId="164" fontId="9" fillId="0" borderId="0" xfId="0" applyNumberFormat="1" applyFont="1"/>
    <xf numFmtId="164" fontId="10" fillId="0" borderId="0" xfId="0" applyNumberFormat="1" applyFont="1"/>
    <xf numFmtId="165" fontId="10" fillId="0" borderId="0" xfId="0" applyNumberFormat="1" applyFont="1"/>
    <xf numFmtId="0" fontId="6" fillId="2" borderId="0" xfId="0" applyFont="1" applyFill="1" applyAlignment="1">
      <alignment horizontal="right"/>
    </xf>
    <xf numFmtId="0" fontId="6" fillId="2" borderId="0" xfId="0" applyFont="1" applyFill="1"/>
    <xf numFmtId="0" fontId="11" fillId="0" borderId="0" xfId="0" applyFont="1"/>
    <xf numFmtId="166" fontId="7" fillId="0" borderId="0" xfId="0" applyNumberFormat="1" applyFont="1"/>
    <xf numFmtId="0" fontId="7" fillId="3" borderId="0" xfId="0" applyFont="1" applyFill="1"/>
    <xf numFmtId="0" fontId="12" fillId="0" borderId="0" xfId="0" applyFont="1"/>
    <xf numFmtId="165" fontId="9" fillId="0" borderId="0" xfId="0" applyNumberFormat="1" applyFont="1"/>
    <xf numFmtId="165" fontId="9" fillId="4" borderId="0" xfId="0" applyNumberFormat="1" applyFont="1" applyFill="1"/>
    <xf numFmtId="2" fontId="7" fillId="3" borderId="0" xfId="0" applyNumberFormat="1" applyFont="1" applyFill="1"/>
    <xf numFmtId="164" fontId="12" fillId="0" borderId="0" xfId="0" applyNumberFormat="1" applyFont="1"/>
    <xf numFmtId="167" fontId="10" fillId="0" borderId="0" xfId="0" applyNumberFormat="1" applyFont="1"/>
    <xf numFmtId="1" fontId="7" fillId="0" borderId="0" xfId="0" applyNumberFormat="1" applyFont="1"/>
    <xf numFmtId="168" fontId="9" fillId="4" borderId="0" xfId="0" applyNumberFormat="1" applyFont="1" applyFill="1"/>
    <xf numFmtId="0" fontId="1" fillId="5" borderId="0" xfId="0" applyFont="1" applyFill="1" applyAlignment="1">
      <alignment horizontal="center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169" fontId="10" fillId="0" borderId="0" xfId="0" applyNumberFormat="1" applyFont="1"/>
    <xf numFmtId="169" fontId="11" fillId="0" borderId="0" xfId="0" applyNumberFormat="1" applyFont="1"/>
    <xf numFmtId="169" fontId="0" fillId="0" borderId="0" xfId="0" applyNumberFormat="1"/>
    <xf numFmtId="169" fontId="1" fillId="5" borderId="0" xfId="0" applyNumberFormat="1" applyFont="1" applyFill="1" applyAlignment="1">
      <alignment horizontal="center"/>
    </xf>
    <xf numFmtId="169" fontId="7" fillId="5" borderId="0" xfId="0" applyNumberFormat="1" applyFont="1" applyFill="1"/>
    <xf numFmtId="169" fontId="10" fillId="3" borderId="0" xfId="0" applyNumberFormat="1" applyFont="1" applyFill="1"/>
    <xf numFmtId="169" fontId="11" fillId="3" borderId="0" xfId="0" applyNumberFormat="1" applyFont="1" applyFill="1"/>
    <xf numFmtId="0" fontId="13" fillId="2" borderId="0" xfId="0" applyFont="1" applyFill="1"/>
    <xf numFmtId="0" fontId="14" fillId="0" borderId="0" xfId="0" applyFont="1"/>
    <xf numFmtId="170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170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/>
    </xf>
    <xf numFmtId="170" fontId="7" fillId="0" borderId="0" xfId="0" applyNumberFormat="1" applyFont="1" applyAlignment="1">
      <alignment horizontal="right"/>
    </xf>
    <xf numFmtId="0" fontId="15" fillId="0" borderId="0" xfId="0" applyFont="1"/>
    <xf numFmtId="0" fontId="1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c0c87b-d28b-42e0-915e-8ee76831b761}">
  <we:reference id="WA200009404" version="1.0.0.8" store="en-US" storeType="OMEX"/>
  <we:alternateReferences/>
  <we:properties>
    <we:property name="Microsoft.Office.CampaignId" value="&quot;none&quot;"/>
    <we:property name="claude.fileId" value="&quot;832a6b2d-5c6b-472b-b4bc-cf4a25ac05c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F39"/>
  <sheetViews>
    <sheetView topLeftCell="A25" zoomScaleNormal="100" workbookViewId="0">
      <selection activeCell="A33" sqref="A33"/>
    </sheetView>
  </sheetViews>
  <sheetFormatPr baseColWidth="10" defaultColWidth="10.6640625" defaultRowHeight="16" x14ac:dyDescent="0.2"/>
  <cols>
    <col min="1" max="1" width="29.6640625" customWidth="1"/>
    <col min="2" max="6" width="13.33203125" customWidth="1"/>
    <col min="7" max="8" width="13" customWidth="1"/>
  </cols>
  <sheetData>
    <row r="1" spans="1:6" ht="19" x14ac:dyDescent="0.25">
      <c r="A1" s="1" t="s">
        <v>10</v>
      </c>
    </row>
    <row r="2" spans="1:6" x14ac:dyDescent="0.2">
      <c r="A2" s="2" t="s">
        <v>11</v>
      </c>
    </row>
    <row r="4" spans="1:6" x14ac:dyDescent="0.2">
      <c r="A4" s="16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9</v>
      </c>
    </row>
    <row r="5" spans="1:6" x14ac:dyDescent="0.2">
      <c r="A5" s="17" t="s">
        <v>12</v>
      </c>
    </row>
    <row r="6" spans="1:6" x14ac:dyDescent="0.2">
      <c r="A6" t="s">
        <v>13</v>
      </c>
      <c r="B6" s="7">
        <v>20383</v>
      </c>
      <c r="C6" s="7">
        <v>25818</v>
      </c>
      <c r="D6" s="7">
        <v>28182</v>
      </c>
      <c r="E6" s="7">
        <v>30096</v>
      </c>
      <c r="F6" s="7">
        <v>36858</v>
      </c>
    </row>
    <row r="7" spans="1:6" x14ac:dyDescent="0.2">
      <c r="A7" t="s">
        <v>14</v>
      </c>
      <c r="B7" s="7">
        <v>7067</v>
      </c>
      <c r="C7" s="7">
        <v>7385</v>
      </c>
      <c r="D7" s="7">
        <v>7637</v>
      </c>
      <c r="E7" s="7">
        <v>21478</v>
      </c>
      <c r="F7" s="7">
        <v>27029</v>
      </c>
    </row>
    <row r="8" spans="1:6" x14ac:dyDescent="0.2">
      <c r="A8" s="4" t="s">
        <v>5</v>
      </c>
      <c r="B8" s="12">
        <f>SUM(B6:B7)</f>
        <v>27450</v>
      </c>
      <c r="C8" s="12">
        <f>SUM(C6:C7)</f>
        <v>33203</v>
      </c>
      <c r="D8" s="12">
        <f>SUM(D6:D7)</f>
        <v>35819</v>
      </c>
      <c r="E8" s="12">
        <f>SUM(E6:E7)</f>
        <v>51574</v>
      </c>
      <c r="F8" s="12">
        <f>SUM(F6:F7)</f>
        <v>63887</v>
      </c>
    </row>
    <row r="9" spans="1:6" x14ac:dyDescent="0.2">
      <c r="A9" s="17" t="s">
        <v>15</v>
      </c>
    </row>
    <row r="10" spans="1:6" x14ac:dyDescent="0.2">
      <c r="A10" t="s">
        <v>16</v>
      </c>
      <c r="B10" s="7">
        <v>10606</v>
      </c>
      <c r="C10" s="7">
        <v>11108</v>
      </c>
      <c r="D10" s="7">
        <v>11129</v>
      </c>
      <c r="E10" s="7">
        <v>19065</v>
      </c>
      <c r="F10" s="7">
        <v>20593</v>
      </c>
    </row>
    <row r="11" spans="1:6" x14ac:dyDescent="0.2">
      <c r="A11" s="4" t="s">
        <v>6</v>
      </c>
      <c r="B11" s="12">
        <f>B8-B10</f>
        <v>16844</v>
      </c>
      <c r="C11" s="12">
        <f>C8-C10</f>
        <v>22095</v>
      </c>
      <c r="D11" s="12">
        <f>D8-D10</f>
        <v>24690</v>
      </c>
      <c r="E11" s="12">
        <f>E8-E10</f>
        <v>32509</v>
      </c>
      <c r="F11" s="12">
        <f>F8-F10</f>
        <v>43294</v>
      </c>
    </row>
    <row r="12" spans="1:6" x14ac:dyDescent="0.2">
      <c r="A12" t="s">
        <v>17</v>
      </c>
      <c r="B12" s="7">
        <v>4854</v>
      </c>
      <c r="C12" s="7">
        <v>4919</v>
      </c>
      <c r="D12" s="7">
        <v>5253</v>
      </c>
      <c r="E12" s="7">
        <v>9310</v>
      </c>
      <c r="F12" s="7">
        <v>10977</v>
      </c>
    </row>
    <row r="13" spans="1:6" x14ac:dyDescent="0.2">
      <c r="A13" t="s">
        <v>18</v>
      </c>
      <c r="B13" s="7">
        <v>1347</v>
      </c>
      <c r="C13" s="7">
        <v>1382</v>
      </c>
      <c r="D13" s="7">
        <v>1592</v>
      </c>
      <c r="E13" s="7">
        <v>4959</v>
      </c>
      <c r="F13" s="7">
        <v>4211</v>
      </c>
    </row>
    <row r="14" spans="1:6" x14ac:dyDescent="0.2">
      <c r="A14" s="4" t="s">
        <v>19</v>
      </c>
      <c r="B14" s="8">
        <v>8519</v>
      </c>
      <c r="C14" s="8">
        <v>14225</v>
      </c>
      <c r="D14" s="8">
        <v>16207</v>
      </c>
      <c r="E14" s="8">
        <v>13463</v>
      </c>
      <c r="F14" s="8">
        <v>25484</v>
      </c>
    </row>
    <row r="15" spans="1:6" x14ac:dyDescent="0.2">
      <c r="A15" t="s">
        <v>20</v>
      </c>
      <c r="B15" s="7">
        <v>1885</v>
      </c>
      <c r="C15" s="7">
        <v>1737</v>
      </c>
      <c r="D15" s="7">
        <v>1622</v>
      </c>
      <c r="E15" s="7">
        <v>3953</v>
      </c>
      <c r="F15" s="7">
        <v>3210</v>
      </c>
    </row>
    <row r="16" spans="1:6" x14ac:dyDescent="0.2">
      <c r="A16" s="4" t="s">
        <v>7</v>
      </c>
      <c r="B16" s="8">
        <v>6736</v>
      </c>
      <c r="C16" s="8">
        <v>11495</v>
      </c>
      <c r="D16" s="8">
        <v>14082</v>
      </c>
      <c r="E16" s="8">
        <v>5895</v>
      </c>
      <c r="F16" s="8">
        <v>23126</v>
      </c>
    </row>
    <row r="17" spans="1:6" x14ac:dyDescent="0.2">
      <c r="A17" t="s">
        <v>21</v>
      </c>
      <c r="B17" s="18">
        <v>1.5</v>
      </c>
      <c r="C17" s="18">
        <v>2.65</v>
      </c>
      <c r="D17" s="18">
        <v>3.3</v>
      </c>
      <c r="E17" s="18">
        <v>1.23</v>
      </c>
      <c r="F17" s="18">
        <v>4.7699999999999996</v>
      </c>
    </row>
    <row r="18" spans="1:6" x14ac:dyDescent="0.2">
      <c r="A18" s="4" t="s">
        <v>22</v>
      </c>
      <c r="B18" s="9">
        <v>4290</v>
      </c>
      <c r="C18" s="9">
        <v>4230</v>
      </c>
      <c r="D18" s="9">
        <v>4272</v>
      </c>
      <c r="E18" s="9">
        <v>4778</v>
      </c>
      <c r="F18" s="9">
        <v>4853</v>
      </c>
    </row>
    <row r="19" spans="1:6" x14ac:dyDescent="0.2">
      <c r="A19" s="17" t="s">
        <v>23</v>
      </c>
    </row>
    <row r="20" spans="1:6" x14ac:dyDescent="0.2">
      <c r="A20" t="s">
        <v>24</v>
      </c>
      <c r="B20" s="7">
        <v>6041</v>
      </c>
      <c r="C20" s="7">
        <v>4984</v>
      </c>
      <c r="D20" s="7">
        <v>3835</v>
      </c>
      <c r="E20" s="7">
        <v>10010</v>
      </c>
      <c r="F20" s="7">
        <v>8775</v>
      </c>
    </row>
    <row r="21" spans="1:6" x14ac:dyDescent="0.2">
      <c r="A21" t="s">
        <v>25</v>
      </c>
      <c r="B21" s="7">
        <v>1704</v>
      </c>
      <c r="C21" s="7">
        <v>1533</v>
      </c>
      <c r="D21" s="7">
        <v>2171</v>
      </c>
      <c r="E21" s="7">
        <v>5741</v>
      </c>
      <c r="F21" s="7">
        <v>7568</v>
      </c>
    </row>
    <row r="22" spans="1:6" x14ac:dyDescent="0.2">
      <c r="A22" t="s">
        <v>26</v>
      </c>
      <c r="B22" s="7">
        <v>13764</v>
      </c>
      <c r="C22" s="7">
        <v>16736</v>
      </c>
      <c r="D22" s="7">
        <v>18085</v>
      </c>
      <c r="E22" s="7">
        <v>19962</v>
      </c>
      <c r="F22" s="7">
        <v>27537</v>
      </c>
    </row>
    <row r="23" spans="1:6" x14ac:dyDescent="0.2">
      <c r="A23" t="s">
        <v>27</v>
      </c>
      <c r="B23" s="7">
        <v>443</v>
      </c>
      <c r="C23" s="7">
        <v>424</v>
      </c>
      <c r="D23" s="7">
        <v>452</v>
      </c>
      <c r="E23" s="7">
        <v>548</v>
      </c>
      <c r="F23" s="7">
        <v>623</v>
      </c>
    </row>
    <row r="24" spans="1:6" x14ac:dyDescent="0.2">
      <c r="A24" s="4" t="s">
        <v>28</v>
      </c>
      <c r="B24" s="12">
        <f>B22-B23</f>
        <v>13321</v>
      </c>
      <c r="C24" s="12">
        <f>C22-C23</f>
        <v>16312</v>
      </c>
      <c r="D24" s="12">
        <f>D22-D23</f>
        <v>17633</v>
      </c>
      <c r="E24" s="12">
        <f>E22-E23</f>
        <v>19414</v>
      </c>
      <c r="F24" s="12">
        <f>F22-F23</f>
        <v>26914</v>
      </c>
    </row>
    <row r="25" spans="1:6" x14ac:dyDescent="0.2">
      <c r="A25" s="17" t="s">
        <v>8</v>
      </c>
    </row>
    <row r="26" spans="1:6" x14ac:dyDescent="0.2">
      <c r="A26" t="s">
        <v>29</v>
      </c>
      <c r="B26" s="7">
        <v>12163</v>
      </c>
      <c r="C26" s="7">
        <v>12416</v>
      </c>
      <c r="D26" s="7">
        <v>14189</v>
      </c>
      <c r="E26" s="7">
        <v>9348</v>
      </c>
      <c r="F26" s="7">
        <v>16178</v>
      </c>
    </row>
    <row r="27" spans="1:6" x14ac:dyDescent="0.2">
      <c r="A27" t="s">
        <v>30</v>
      </c>
      <c r="B27" s="7">
        <v>39730</v>
      </c>
      <c r="C27" s="7">
        <v>39515</v>
      </c>
      <c r="D27" s="7">
        <v>39229</v>
      </c>
      <c r="E27" s="7">
        <v>67566</v>
      </c>
      <c r="F27" s="7">
        <v>65136</v>
      </c>
    </row>
    <row r="28" spans="1:6" x14ac:dyDescent="0.2">
      <c r="A28" s="4" t="s">
        <v>31</v>
      </c>
      <c r="B28" s="12">
        <f>B27-B26</f>
        <v>27567</v>
      </c>
      <c r="C28" s="12">
        <f>C27-C26</f>
        <v>27099</v>
      </c>
      <c r="D28" s="12">
        <f>D27-D26</f>
        <v>25040</v>
      </c>
      <c r="E28" s="12">
        <f>E27-E26</f>
        <v>58218</v>
      </c>
      <c r="F28" s="12">
        <f>F27-F26</f>
        <v>48958</v>
      </c>
    </row>
    <row r="29" spans="1:6" x14ac:dyDescent="0.2">
      <c r="A29" s="17" t="s">
        <v>32</v>
      </c>
    </row>
    <row r="30" spans="1:6" x14ac:dyDescent="0.2">
      <c r="A30" t="s">
        <v>33</v>
      </c>
      <c r="B30" s="14"/>
      <c r="C30" s="14">
        <f>C8/B8-1</f>
        <v>0.20958105646630232</v>
      </c>
      <c r="D30" s="14">
        <f>D8/C8-1</f>
        <v>7.8788061319760239E-2</v>
      </c>
      <c r="E30" s="14">
        <f>E8/D8-1</f>
        <v>0.43985035874815037</v>
      </c>
      <c r="F30" s="14">
        <f>F8/E8-1</f>
        <v>0.23874432853763516</v>
      </c>
    </row>
    <row r="31" spans="1:6" x14ac:dyDescent="0.2">
      <c r="A31" t="s">
        <v>34</v>
      </c>
      <c r="B31" s="14">
        <f>B11/B8</f>
        <v>0.61362477231329693</v>
      </c>
      <c r="C31" s="14">
        <f>C11/C8</f>
        <v>0.66545191699545225</v>
      </c>
      <c r="D31" s="14">
        <f>D11/D8</f>
        <v>0.68929897540411511</v>
      </c>
      <c r="E31" s="14">
        <f>E11/E8</f>
        <v>0.63033699150734868</v>
      </c>
      <c r="F31" s="14">
        <f>F11/F8</f>
        <v>0.67766525271181932</v>
      </c>
    </row>
    <row r="32" spans="1:6" x14ac:dyDescent="0.2">
      <c r="A32" t="s">
        <v>35</v>
      </c>
      <c r="B32" s="13">
        <f>B14+B20</f>
        <v>14560</v>
      </c>
      <c r="C32" s="13">
        <f>C14+C20</f>
        <v>19209</v>
      </c>
      <c r="D32" s="13">
        <f>D14+D20</f>
        <v>20042</v>
      </c>
      <c r="E32" s="13">
        <f>E14+E20</f>
        <v>23473</v>
      </c>
      <c r="F32" s="13">
        <f>F14+F20</f>
        <v>34259</v>
      </c>
    </row>
    <row r="33" spans="1:6" x14ac:dyDescent="0.2">
      <c r="A33" t="s">
        <v>36</v>
      </c>
      <c r="B33" s="14">
        <f>B32/B8</f>
        <v>0.53041894353369767</v>
      </c>
      <c r="C33" s="14">
        <f>C32/C8</f>
        <v>0.57853206035599192</v>
      </c>
      <c r="D33" s="14">
        <f>D32/D8</f>
        <v>0.55953544208381023</v>
      </c>
      <c r="E33" s="14">
        <f>E32/E8</f>
        <v>0.45513243106991896</v>
      </c>
      <c r="F33" s="14">
        <f>F32/F8</f>
        <v>0.53624368024793778</v>
      </c>
    </row>
    <row r="34" spans="1:6" x14ac:dyDescent="0.2">
      <c r="A34" t="s">
        <v>37</v>
      </c>
      <c r="B34" s="14">
        <f>B20/B8</f>
        <v>0.22007285974499088</v>
      </c>
      <c r="C34" s="14">
        <f>C20/C8</f>
        <v>0.15010691804957382</v>
      </c>
      <c r="D34" s="14">
        <f>D20/D8</f>
        <v>0.10706608224685223</v>
      </c>
      <c r="E34" s="14">
        <f>E20/E8</f>
        <v>0.19409004537169891</v>
      </c>
      <c r="F34" s="14">
        <f>F20/F8</f>
        <v>0.13735188692535258</v>
      </c>
    </row>
    <row r="35" spans="1:6" x14ac:dyDescent="0.2">
      <c r="A35" t="s">
        <v>38</v>
      </c>
      <c r="B35" s="14">
        <f>B23/B8</f>
        <v>1.6138433515482695E-2</v>
      </c>
      <c r="C35" s="14">
        <f>C23/C8</f>
        <v>1.2769930427973376E-2</v>
      </c>
      <c r="D35" s="14">
        <f>D23/D8</f>
        <v>1.2619001088807615E-2</v>
      </c>
      <c r="E35" s="14">
        <f>E23/E8</f>
        <v>1.062550897739171E-2</v>
      </c>
      <c r="F35" s="14">
        <f>F23/F8</f>
        <v>9.7515926557828671E-3</v>
      </c>
    </row>
    <row r="36" spans="1:6" x14ac:dyDescent="0.2">
      <c r="A36" t="s">
        <v>39</v>
      </c>
      <c r="B36" s="7">
        <v>6765</v>
      </c>
      <c r="C36" s="7">
        <v>12434</v>
      </c>
      <c r="D36" s="7">
        <v>15097</v>
      </c>
      <c r="E36" s="7">
        <v>9916</v>
      </c>
      <c r="F36" s="7">
        <v>22729</v>
      </c>
    </row>
    <row r="37" spans="1:6" x14ac:dyDescent="0.2">
      <c r="A37" t="s">
        <v>40</v>
      </c>
      <c r="B37" s="7">
        <v>29</v>
      </c>
      <c r="C37" s="7">
        <v>939</v>
      </c>
      <c r="D37" s="7">
        <v>1015</v>
      </c>
      <c r="E37" s="7">
        <v>3748</v>
      </c>
      <c r="F37" s="7">
        <v>-397</v>
      </c>
    </row>
    <row r="38" spans="1:6" x14ac:dyDescent="0.2">
      <c r="A38" t="s">
        <v>41</v>
      </c>
      <c r="B38" s="14">
        <f>B37/B36</f>
        <v>4.286770140428677E-3</v>
      </c>
      <c r="C38" s="14">
        <f>C37/C36</f>
        <v>7.5518738941611707E-2</v>
      </c>
      <c r="D38" s="14">
        <f>D37/D36</f>
        <v>6.7231900377558454E-2</v>
      </c>
      <c r="E38" s="14">
        <f>E37/E36</f>
        <v>0.37797498991528844</v>
      </c>
      <c r="F38" s="14">
        <f>F37/F36</f>
        <v>-1.7466672532887501E-2</v>
      </c>
    </row>
    <row r="39" spans="1:6" x14ac:dyDescent="0.2">
      <c r="A39" t="s">
        <v>42</v>
      </c>
      <c r="B39" s="7">
        <v>345</v>
      </c>
      <c r="C39" s="7">
        <v>-1440</v>
      </c>
      <c r="D39" s="7">
        <v>-230</v>
      </c>
      <c r="E39" s="7">
        <v>2676</v>
      </c>
      <c r="F39" s="7">
        <v>-3045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5104-E7F4-7043-9E4A-49FB3799B1E9}">
  <dimension ref="A1:G113"/>
  <sheetViews>
    <sheetView tabSelected="1" topLeftCell="A86" workbookViewId="0">
      <selection activeCell="A16" sqref="A16"/>
    </sheetView>
  </sheetViews>
  <sheetFormatPr baseColWidth="10" defaultRowHeight="16" x14ac:dyDescent="0.2"/>
  <cols>
    <col min="1" max="1" width="82.1640625" customWidth="1"/>
    <col min="2" max="7" width="13.33203125" customWidth="1"/>
  </cols>
  <sheetData>
    <row r="1" spans="1:7" ht="19" x14ac:dyDescent="0.25">
      <c r="A1" s="1" t="s">
        <v>43</v>
      </c>
    </row>
    <row r="2" spans="1:7" x14ac:dyDescent="0.2">
      <c r="A2" s="2" t="s">
        <v>44</v>
      </c>
    </row>
    <row r="3" spans="1:7" x14ac:dyDescent="0.2">
      <c r="A3" s="38" t="s">
        <v>108</v>
      </c>
      <c r="B3" s="3"/>
      <c r="C3" s="3"/>
      <c r="D3" s="3"/>
      <c r="E3" s="3"/>
      <c r="F3" s="3"/>
      <c r="G3" s="3"/>
    </row>
    <row r="4" spans="1:7" x14ac:dyDescent="0.2">
      <c r="A4" s="39" t="s">
        <v>109</v>
      </c>
      <c r="C4" s="5" t="s">
        <v>110</v>
      </c>
      <c r="D4" s="5" t="s">
        <v>111</v>
      </c>
    </row>
    <row r="5" spans="1:7" x14ac:dyDescent="0.2">
      <c r="A5" s="2" t="s">
        <v>112</v>
      </c>
      <c r="C5" s="40">
        <f>B79</f>
        <v>104.73630565826808</v>
      </c>
      <c r="D5" s="41">
        <f>B79/B31-1</f>
        <v>-0.77329803970071842</v>
      </c>
    </row>
    <row r="6" spans="1:7" x14ac:dyDescent="0.2">
      <c r="A6" s="2" t="s">
        <v>113</v>
      </c>
      <c r="C6" s="40">
        <f>B89</f>
        <v>160.63862729649304</v>
      </c>
      <c r="D6" s="41">
        <f>B89/B31-1</f>
        <v>-0.6522973435140843</v>
      </c>
    </row>
    <row r="7" spans="1:7" x14ac:dyDescent="0.2">
      <c r="A7" s="39" t="s">
        <v>114</v>
      </c>
      <c r="C7" s="42">
        <f>B92</f>
        <v>132.68746647738055</v>
      </c>
      <c r="D7" s="43">
        <f>B92/B31-1</f>
        <v>-0.71279769160740147</v>
      </c>
    </row>
    <row r="8" spans="1:7" x14ac:dyDescent="0.2">
      <c r="A8" s="2" t="s">
        <v>115</v>
      </c>
      <c r="C8" s="44">
        <f>B31</f>
        <v>462</v>
      </c>
    </row>
    <row r="9" spans="1:7" x14ac:dyDescent="0.2">
      <c r="A9" s="2"/>
    </row>
    <row r="10" spans="1:7" x14ac:dyDescent="0.2">
      <c r="A10" s="45" t="s">
        <v>116</v>
      </c>
    </row>
    <row r="11" spans="1:7" ht="30" customHeight="1" x14ac:dyDescent="0.2">
      <c r="A11" s="46" t="s">
        <v>117</v>
      </c>
    </row>
    <row r="12" spans="1:7" ht="30" customHeight="1" x14ac:dyDescent="0.2">
      <c r="A12" s="46" t="s">
        <v>118</v>
      </c>
    </row>
    <row r="13" spans="1:7" ht="30" customHeight="1" x14ac:dyDescent="0.2">
      <c r="A13" s="46" t="s">
        <v>119</v>
      </c>
    </row>
    <row r="14" spans="1:7" x14ac:dyDescent="0.2">
      <c r="A14" s="2"/>
    </row>
    <row r="15" spans="1:7" x14ac:dyDescent="0.2">
      <c r="A15" s="45" t="s">
        <v>120</v>
      </c>
    </row>
    <row r="16" spans="1:7" ht="45" customHeight="1" x14ac:dyDescent="0.2">
      <c r="A16" s="46" t="str">
        <f>"Under moderate assumptions, the DCF implies an intrinsic value of about "&amp;TEXT(B79,"$#,##0")&amp;"–"&amp;TEXT(B89,"$#,##0")&amp;" per share (avg "&amp;TEXT(B92,"$#,##0")&amp;"), versus the current "&amp;TEXT(B31,"$#,##0")&amp;_xlfn._LONGTEXT(" price. This suggests the market is pricing in materially higher growth, higher margins, or a lower discount rate than modeled here — consistent with AVGO's premium AI-driven valuation. Adjust the blue input cells (growth, margins, WACC, exit multiple) to"," test scenarios; the sensitivity tables below show the range.")</f>
        <v>Under moderate assumptions, the DCF implies an intrinsic value of about $105–$161 per share (avg $133), versus the current $462 price. This suggests the market is pricing in materially higher growth, higher margins, or a lower discount rate than modeled here — consistent with AVGO's premium AI-driven valuation. Adjust the blue input cells (growth, margins, WACC, exit multiple) to test scenarios; the sensitivity tables below show the range.</v>
      </c>
    </row>
    <row r="18" spans="1:2" x14ac:dyDescent="0.2">
      <c r="A18" s="16" t="s">
        <v>45</v>
      </c>
      <c r="B18" s="3"/>
    </row>
    <row r="19" spans="1:2" x14ac:dyDescent="0.2">
      <c r="A19" s="17" t="s">
        <v>46</v>
      </c>
    </row>
    <row r="20" spans="1:2" x14ac:dyDescent="0.2">
      <c r="A20" t="s">
        <v>47</v>
      </c>
      <c r="B20" s="10">
        <v>0.4</v>
      </c>
    </row>
    <row r="21" spans="1:2" x14ac:dyDescent="0.2">
      <c r="A21" t="s">
        <v>48</v>
      </c>
      <c r="B21" s="10">
        <v>0.21</v>
      </c>
    </row>
    <row r="22" spans="1:2" x14ac:dyDescent="0.2">
      <c r="A22" t="s">
        <v>37</v>
      </c>
      <c r="B22" s="10">
        <v>0.13700000000000001</v>
      </c>
    </row>
    <row r="23" spans="1:2" x14ac:dyDescent="0.2">
      <c r="A23" t="s">
        <v>38</v>
      </c>
      <c r="B23" s="10">
        <v>1.2E-2</v>
      </c>
    </row>
    <row r="24" spans="1:2" x14ac:dyDescent="0.2">
      <c r="A24" t="s">
        <v>49</v>
      </c>
      <c r="B24" s="10">
        <v>0.05</v>
      </c>
    </row>
    <row r="26" spans="1:2" x14ac:dyDescent="0.2">
      <c r="A26" s="17" t="s">
        <v>50</v>
      </c>
    </row>
    <row r="27" spans="1:2" x14ac:dyDescent="0.2">
      <c r="A27" t="s">
        <v>51</v>
      </c>
      <c r="B27" s="10">
        <v>3.5000000000000003E-2</v>
      </c>
    </row>
    <row r="28" spans="1:2" x14ac:dyDescent="0.2">
      <c r="A28" t="s">
        <v>52</v>
      </c>
      <c r="B28" s="10">
        <v>18</v>
      </c>
    </row>
    <row r="30" spans="1:2" x14ac:dyDescent="0.2">
      <c r="A30" s="17" t="s">
        <v>53</v>
      </c>
    </row>
    <row r="31" spans="1:2" x14ac:dyDescent="0.2">
      <c r="A31" t="s">
        <v>54</v>
      </c>
      <c r="B31" s="19">
        <v>462</v>
      </c>
    </row>
    <row r="32" spans="1:2" x14ac:dyDescent="0.2">
      <c r="A32" t="s">
        <v>55</v>
      </c>
      <c r="B32" s="19">
        <v>4730</v>
      </c>
    </row>
    <row r="33" spans="1:2" x14ac:dyDescent="0.2">
      <c r="A33" t="s">
        <v>56</v>
      </c>
      <c r="B33" s="20">
        <v>48958</v>
      </c>
    </row>
    <row r="35" spans="1:2" x14ac:dyDescent="0.2">
      <c r="A35" s="17" t="s">
        <v>57</v>
      </c>
    </row>
    <row r="36" spans="1:2" x14ac:dyDescent="0.2">
      <c r="A36" t="s">
        <v>58</v>
      </c>
      <c r="B36" s="20">
        <v>63887</v>
      </c>
    </row>
    <row r="37" spans="1:2" x14ac:dyDescent="0.2">
      <c r="A37" t="s">
        <v>59</v>
      </c>
      <c r="B37" s="20">
        <v>25484</v>
      </c>
    </row>
    <row r="38" spans="1:2" x14ac:dyDescent="0.2">
      <c r="A38" t="s">
        <v>60</v>
      </c>
      <c r="B38" s="20">
        <v>8775</v>
      </c>
    </row>
    <row r="39" spans="1:2" x14ac:dyDescent="0.2">
      <c r="A39" t="s">
        <v>61</v>
      </c>
      <c r="B39" s="20">
        <v>623</v>
      </c>
    </row>
    <row r="41" spans="1:2" x14ac:dyDescent="0.2">
      <c r="A41" s="16" t="s">
        <v>62</v>
      </c>
      <c r="B41" s="3"/>
    </row>
    <row r="42" spans="1:2" x14ac:dyDescent="0.2">
      <c r="A42" t="s">
        <v>63</v>
      </c>
      <c r="B42" s="11">
        <v>4.2999999999999997E-2</v>
      </c>
    </row>
    <row r="43" spans="1:2" x14ac:dyDescent="0.2">
      <c r="A43" t="s">
        <v>64</v>
      </c>
      <c r="B43" s="11">
        <v>0.05</v>
      </c>
    </row>
    <row r="44" spans="1:2" x14ac:dyDescent="0.2">
      <c r="A44" t="s">
        <v>65</v>
      </c>
      <c r="B44" s="23">
        <v>1.45</v>
      </c>
    </row>
    <row r="45" spans="1:2" x14ac:dyDescent="0.2">
      <c r="A45" t="s">
        <v>66</v>
      </c>
      <c r="B45" s="11">
        <v>0.05</v>
      </c>
    </row>
    <row r="46" spans="1:2" x14ac:dyDescent="0.2">
      <c r="A46" t="s">
        <v>67</v>
      </c>
      <c r="B46" s="14">
        <f>B21</f>
        <v>0.21</v>
      </c>
    </row>
    <row r="47" spans="1:2" x14ac:dyDescent="0.2">
      <c r="A47" t="s">
        <v>68</v>
      </c>
      <c r="B47" s="21">
        <f>B42+B44*B43</f>
        <v>0.11549999999999999</v>
      </c>
    </row>
    <row r="48" spans="1:2" x14ac:dyDescent="0.2">
      <c r="A48" t="s">
        <v>69</v>
      </c>
      <c r="B48" s="21">
        <f>B45*(1-B46)</f>
        <v>3.9500000000000007E-2</v>
      </c>
    </row>
    <row r="49" spans="1:7" x14ac:dyDescent="0.2">
      <c r="A49" t="s">
        <v>70</v>
      </c>
      <c r="B49" s="13">
        <f>B31*B32</f>
        <v>2185260</v>
      </c>
    </row>
    <row r="50" spans="1:7" x14ac:dyDescent="0.2">
      <c r="A50" t="s">
        <v>71</v>
      </c>
      <c r="B50" s="24">
        <v>65136</v>
      </c>
    </row>
    <row r="51" spans="1:7" x14ac:dyDescent="0.2">
      <c r="A51" s="4" t="s">
        <v>72</v>
      </c>
      <c r="B51" s="22">
        <f>B47*B49/(B49+B50)+B48*B50/(B49+B50)</f>
        <v>0.11330023782480948</v>
      </c>
    </row>
    <row r="54" spans="1:7" x14ac:dyDescent="0.2">
      <c r="A54" s="16" t="s">
        <v>73</v>
      </c>
      <c r="B54" s="3"/>
      <c r="C54" s="3"/>
      <c r="D54" s="3"/>
      <c r="E54" s="3"/>
      <c r="F54" s="3"/>
      <c r="G54" s="3"/>
    </row>
    <row r="55" spans="1:7" x14ac:dyDescent="0.2">
      <c r="A55" s="4" t="s">
        <v>0</v>
      </c>
      <c r="B55" s="5" t="s">
        <v>9</v>
      </c>
      <c r="C55" s="5" t="s">
        <v>74</v>
      </c>
      <c r="D55" s="5" t="s">
        <v>75</v>
      </c>
      <c r="E55" s="5" t="s">
        <v>76</v>
      </c>
      <c r="F55" s="5" t="s">
        <v>77</v>
      </c>
      <c r="G55" s="5" t="s">
        <v>78</v>
      </c>
    </row>
    <row r="56" spans="1:7" x14ac:dyDescent="0.2">
      <c r="A56" t="s">
        <v>33</v>
      </c>
      <c r="C56" s="11">
        <v>0.18</v>
      </c>
      <c r="D56" s="11">
        <v>0.15</v>
      </c>
      <c r="E56" s="11">
        <v>0.13</v>
      </c>
      <c r="F56" s="11">
        <v>0.1</v>
      </c>
      <c r="G56" s="11">
        <v>0.08</v>
      </c>
    </row>
    <row r="57" spans="1:7" x14ac:dyDescent="0.2">
      <c r="A57" t="s">
        <v>58</v>
      </c>
      <c r="B57" s="24">
        <v>63887</v>
      </c>
      <c r="C57" s="13">
        <f>B57*(1+C56)</f>
        <v>75386.659999999989</v>
      </c>
      <c r="D57" s="13">
        <f>C57*(1+D56)</f>
        <v>86694.658999999985</v>
      </c>
      <c r="E57" s="13">
        <f>D57*(1+E56)</f>
        <v>97964.964669999972</v>
      </c>
      <c r="F57" s="13">
        <f>E57*(1+F56)</f>
        <v>107761.46113699998</v>
      </c>
      <c r="G57" s="13">
        <f>F57*(1+G56)</f>
        <v>116382.37802795999</v>
      </c>
    </row>
    <row r="58" spans="1:7" x14ac:dyDescent="0.2">
      <c r="A58" t="s">
        <v>59</v>
      </c>
      <c r="B58" s="6"/>
      <c r="C58" s="13">
        <f>C57*$B$20</f>
        <v>30154.663999999997</v>
      </c>
      <c r="D58" s="13">
        <f>D57*$B$20</f>
        <v>34677.863599999997</v>
      </c>
      <c r="E58" s="13">
        <f>E57*$B$20</f>
        <v>39185.985867999989</v>
      </c>
      <c r="F58" s="13">
        <f>F57*$B$20</f>
        <v>43104.584454799995</v>
      </c>
      <c r="G58" s="13">
        <f>G57*$B$20</f>
        <v>46552.951211184001</v>
      </c>
    </row>
    <row r="59" spans="1:7" x14ac:dyDescent="0.2">
      <c r="A59" t="s">
        <v>79</v>
      </c>
      <c r="B59" s="6"/>
      <c r="C59" s="13">
        <f>-C58*$B$21</f>
        <v>-6332.4794399999992</v>
      </c>
      <c r="D59" s="13">
        <f>-D58*$B$21</f>
        <v>-7282.3513559999992</v>
      </c>
      <c r="E59" s="13">
        <f>-E58*$B$21</f>
        <v>-8229.0570322799977</v>
      </c>
      <c r="F59" s="13">
        <f>-F58*$B$21</f>
        <v>-9051.9627355079992</v>
      </c>
      <c r="G59" s="13">
        <f>-G58*$B$21</f>
        <v>-9776.1197543486396</v>
      </c>
    </row>
    <row r="60" spans="1:7" x14ac:dyDescent="0.2">
      <c r="A60" s="4" t="s">
        <v>80</v>
      </c>
      <c r="B60" s="6"/>
      <c r="C60" s="12">
        <f>C58+C59</f>
        <v>23822.184559999998</v>
      </c>
      <c r="D60" s="12">
        <f>D58+D59</f>
        <v>27395.512243999998</v>
      </c>
      <c r="E60" s="12">
        <f>E58+E59</f>
        <v>30956.928835719991</v>
      </c>
      <c r="F60" s="12">
        <f>F58+F59</f>
        <v>34052.621719291994</v>
      </c>
      <c r="G60" s="12">
        <f>G58+G59</f>
        <v>36776.83145683536</v>
      </c>
    </row>
    <row r="61" spans="1:7" x14ac:dyDescent="0.2">
      <c r="A61" t="s">
        <v>81</v>
      </c>
      <c r="B61" s="6"/>
      <c r="C61" s="13">
        <f>C57*$B$22</f>
        <v>10327.97242</v>
      </c>
      <c r="D61" s="13">
        <f>D57*$B$22</f>
        <v>11877.168282999999</v>
      </c>
      <c r="E61" s="13">
        <f>E57*$B$22</f>
        <v>13421.200159789998</v>
      </c>
      <c r="F61" s="13">
        <f>F57*$B$22</f>
        <v>14763.320175768999</v>
      </c>
      <c r="G61" s="13">
        <f>G57*$B$22</f>
        <v>15944.38578983052</v>
      </c>
    </row>
    <row r="62" spans="1:7" x14ac:dyDescent="0.2">
      <c r="A62" t="s">
        <v>82</v>
      </c>
      <c r="B62" s="6"/>
      <c r="C62" s="13">
        <f>-C57*$B$23</f>
        <v>-904.63991999999985</v>
      </c>
      <c r="D62" s="13">
        <f>-D57*$B$23</f>
        <v>-1040.3359079999998</v>
      </c>
      <c r="E62" s="13">
        <f>-E57*$B$23</f>
        <v>-1175.5795760399997</v>
      </c>
      <c r="F62" s="13">
        <f>-F57*$B$23</f>
        <v>-1293.1375336439999</v>
      </c>
      <c r="G62" s="13">
        <f>-G57*$B$23</f>
        <v>-1396.5885363355198</v>
      </c>
    </row>
    <row r="63" spans="1:7" x14ac:dyDescent="0.2">
      <c r="A63" t="s">
        <v>83</v>
      </c>
      <c r="B63" s="6"/>
      <c r="C63" s="13">
        <f>-(C57-B57)*$B$24</f>
        <v>-574.98299999999949</v>
      </c>
      <c r="D63" s="13">
        <f>-(D57-C57)*$B$24</f>
        <v>-565.39994999999988</v>
      </c>
      <c r="E63" s="13">
        <f>-(E57-D57)*$B$24</f>
        <v>-563.51528349999933</v>
      </c>
      <c r="F63" s="13">
        <f>-(F57-E57)*$B$24</f>
        <v>-489.82482335000026</v>
      </c>
      <c r="G63" s="13">
        <f>-(G57-F57)*$B$24</f>
        <v>-431.04584454800062</v>
      </c>
    </row>
    <row r="64" spans="1:7" x14ac:dyDescent="0.2">
      <c r="A64" s="4" t="s">
        <v>84</v>
      </c>
      <c r="B64" s="6"/>
      <c r="C64" s="12">
        <f>C60+C61+C62+C63</f>
        <v>32670.534059999998</v>
      </c>
      <c r="D64" s="12">
        <f>D60+D61+D62+D63</f>
        <v>37666.944668999997</v>
      </c>
      <c r="E64" s="12">
        <f>E60+E61+E62+E63</f>
        <v>42639.034135969996</v>
      </c>
      <c r="F64" s="12">
        <f>F60+F61+F62+F63</f>
        <v>47032.979538066989</v>
      </c>
      <c r="G64" s="12">
        <f>G60+G61+G62+G63</f>
        <v>50893.582865782359</v>
      </c>
    </row>
    <row r="65" spans="1:7" x14ac:dyDescent="0.2">
      <c r="A65" t="s">
        <v>85</v>
      </c>
      <c r="C65" s="26">
        <v>1</v>
      </c>
      <c r="D65" s="26">
        <v>2</v>
      </c>
      <c r="E65" s="26">
        <v>3</v>
      </c>
      <c r="F65" s="26">
        <v>4</v>
      </c>
      <c r="G65" s="26">
        <v>5</v>
      </c>
    </row>
    <row r="66" spans="1:7" x14ac:dyDescent="0.2">
      <c r="A66" t="s">
        <v>86</v>
      </c>
      <c r="C66" s="25">
        <f>1/(1+$B$51)^C65</f>
        <v>0.89823029406139532</v>
      </c>
      <c r="D66" s="25">
        <f>1/(1+$B$51)^D65</f>
        <v>0.80681766116962061</v>
      </c>
      <c r="E66" s="25">
        <f>1/(1+$B$51)^E65</f>
        <v>0.72470806504631546</v>
      </c>
      <c r="F66" s="25">
        <f>1/(1+$B$51)^F65</f>
        <v>0.65095473837521678</v>
      </c>
      <c r="G66" s="25">
        <f>1/(1+$B$51)^G65</f>
        <v>0.58470726607142964</v>
      </c>
    </row>
    <row r="67" spans="1:7" x14ac:dyDescent="0.2">
      <c r="A67" s="4" t="s">
        <v>87</v>
      </c>
      <c r="B67" s="6"/>
      <c r="C67" s="12">
        <f>C64*C66</f>
        <v>29345.66341585663</v>
      </c>
      <c r="D67" s="12">
        <f>D64*D66</f>
        <v>30390.356201248087</v>
      </c>
      <c r="E67" s="12">
        <f>E64*E66</f>
        <v>30900.851924122609</v>
      </c>
      <c r="F67" s="12">
        <f>F64*F66</f>
        <v>30616.340890209322</v>
      </c>
      <c r="G67" s="12">
        <f>G64*G66</f>
        <v>29757.847698031357</v>
      </c>
    </row>
    <row r="69" spans="1:7" x14ac:dyDescent="0.2">
      <c r="A69" s="16" t="s">
        <v>88</v>
      </c>
      <c r="B69" s="3"/>
      <c r="C69" s="3"/>
    </row>
    <row r="70" spans="1:7" x14ac:dyDescent="0.2">
      <c r="A70" s="4" t="s">
        <v>89</v>
      </c>
      <c r="B70" s="12">
        <f>SUM(C67:G67)</f>
        <v>151011.06012946801</v>
      </c>
    </row>
    <row r="72" spans="1:7" x14ac:dyDescent="0.2">
      <c r="A72" s="17" t="s">
        <v>90</v>
      </c>
    </row>
    <row r="73" spans="1:7" x14ac:dyDescent="0.2">
      <c r="A73" t="s">
        <v>91</v>
      </c>
      <c r="B73" s="13">
        <f>G64*(1+B27)</f>
        <v>52674.858266084739</v>
      </c>
    </row>
    <row r="74" spans="1:7" x14ac:dyDescent="0.2">
      <c r="A74" t="s">
        <v>92</v>
      </c>
      <c r="B74" s="13">
        <f>B73/(B51-B27)</f>
        <v>672729.22444936272</v>
      </c>
    </row>
    <row r="75" spans="1:7" x14ac:dyDescent="0.2">
      <c r="A75" t="s">
        <v>93</v>
      </c>
      <c r="B75" s="13">
        <f>B74*G66</f>
        <v>393349.66563414002</v>
      </c>
    </row>
    <row r="76" spans="1:7" x14ac:dyDescent="0.2">
      <c r="A76" s="4" t="s">
        <v>94</v>
      </c>
      <c r="B76" s="12">
        <f>B70+B75</f>
        <v>544360.725763608</v>
      </c>
    </row>
    <row r="77" spans="1:7" x14ac:dyDescent="0.2">
      <c r="A77" t="s">
        <v>95</v>
      </c>
      <c r="B77" s="13">
        <f>-B33</f>
        <v>-48958</v>
      </c>
    </row>
    <row r="78" spans="1:7" x14ac:dyDescent="0.2">
      <c r="A78" s="4" t="s">
        <v>96</v>
      </c>
      <c r="B78" s="12">
        <f>B76+B77</f>
        <v>495402.725763608</v>
      </c>
    </row>
    <row r="79" spans="1:7" x14ac:dyDescent="0.2">
      <c r="A79" s="4" t="s">
        <v>97</v>
      </c>
      <c r="B79" s="27">
        <f>B78/B32</f>
        <v>104.73630565826808</v>
      </c>
    </row>
    <row r="80" spans="1:7" x14ac:dyDescent="0.2">
      <c r="A80" s="4" t="s">
        <v>98</v>
      </c>
      <c r="B80" s="14">
        <f>B79/B31-1</f>
        <v>-0.77329803970071842</v>
      </c>
    </row>
    <row r="82" spans="1:6" x14ac:dyDescent="0.2">
      <c r="A82" s="17" t="s">
        <v>99</v>
      </c>
    </row>
    <row r="83" spans="1:6" x14ac:dyDescent="0.2">
      <c r="A83" s="4" t="s">
        <v>100</v>
      </c>
      <c r="B83" s="13">
        <f>G58+G61</f>
        <v>62497.337001014523</v>
      </c>
    </row>
    <row r="84" spans="1:6" x14ac:dyDescent="0.2">
      <c r="A84" s="4" t="s">
        <v>101</v>
      </c>
      <c r="B84" s="13">
        <f>B83*B28</f>
        <v>1124952.0660182615</v>
      </c>
    </row>
    <row r="85" spans="1:6" x14ac:dyDescent="0.2">
      <c r="A85" s="4" t="s">
        <v>93</v>
      </c>
      <c r="B85" s="13">
        <f>B84*G66</f>
        <v>657767.6469829441</v>
      </c>
    </row>
    <row r="86" spans="1:6" x14ac:dyDescent="0.2">
      <c r="A86" s="4" t="s">
        <v>94</v>
      </c>
      <c r="B86" s="12">
        <f>B70+B85</f>
        <v>808778.70711241208</v>
      </c>
    </row>
    <row r="87" spans="1:6" x14ac:dyDescent="0.2">
      <c r="A87" s="4" t="s">
        <v>95</v>
      </c>
      <c r="B87" s="13">
        <f>-B33</f>
        <v>-48958</v>
      </c>
    </row>
    <row r="88" spans="1:6" x14ac:dyDescent="0.2">
      <c r="A88" s="4" t="s">
        <v>96</v>
      </c>
      <c r="B88" s="12">
        <f>B86+B87</f>
        <v>759820.70711241208</v>
      </c>
    </row>
    <row r="89" spans="1:6" x14ac:dyDescent="0.2">
      <c r="A89" s="4" t="s">
        <v>97</v>
      </c>
      <c r="B89" s="27">
        <f>B88/B32</f>
        <v>160.63862729649304</v>
      </c>
    </row>
    <row r="90" spans="1:6" x14ac:dyDescent="0.2">
      <c r="A90" s="4" t="s">
        <v>98</v>
      </c>
      <c r="B90" s="14">
        <f>B89/B31-1</f>
        <v>-0.6522973435140843</v>
      </c>
    </row>
    <row r="92" spans="1:6" x14ac:dyDescent="0.2">
      <c r="A92" s="4" t="s">
        <v>102</v>
      </c>
      <c r="B92" s="27">
        <f>AVERAGE(B79,B89)</f>
        <v>132.68746647738055</v>
      </c>
    </row>
    <row r="95" spans="1:6" x14ac:dyDescent="0.2">
      <c r="A95" s="16" t="s">
        <v>103</v>
      </c>
      <c r="B95" s="3"/>
      <c r="C95" s="3"/>
      <c r="D95" s="3"/>
      <c r="E95" s="3"/>
      <c r="F95" s="3"/>
    </row>
    <row r="97" spans="1:7" x14ac:dyDescent="0.2">
      <c r="A97" s="17" t="s">
        <v>104</v>
      </c>
    </row>
    <row r="98" spans="1:7" x14ac:dyDescent="0.2">
      <c r="A98" s="28" t="s">
        <v>105</v>
      </c>
      <c r="B98" s="30">
        <v>2.5000000000000001E-2</v>
      </c>
      <c r="C98" s="30">
        <v>0.03</v>
      </c>
      <c r="D98" s="30">
        <v>3.5000000000000003E-2</v>
      </c>
      <c r="E98" s="30">
        <v>0.04</v>
      </c>
      <c r="F98" s="30">
        <v>4.4999999999999998E-2</v>
      </c>
    </row>
    <row r="99" spans="1:7" x14ac:dyDescent="0.2">
      <c r="A99" s="29">
        <v>9.3299999999999994E-2</v>
      </c>
      <c r="B99" s="31" cm="1">
        <f t="array" ref="B99">(SUMPRODUCT($C$64:$G$64,1/(1+$A99)^$C$65:$G$65)+($G$64*(1+B$98)/($A99-B$98))/(1+$A99)^$G$65-$B$33)/$B$32</f>
        <v>126.74851525500712</v>
      </c>
      <c r="C99" s="31" cm="1">
        <f t="array" ref="C99">(SUMPRODUCT($C$64:$G$64,1/(1+$A99)^$C$65:$G$65)+($G$64*(1+C$98)/($A99-C$98))/(1+$A99)^$G$65-$B$33)/$B$32</f>
        <v>135.45795228260329</v>
      </c>
      <c r="D99" s="31" cm="1">
        <f t="array" ref="D99">(SUMPRODUCT($C$64:$G$64,1/(1+$A99)^$C$65:$G$65)+($G$64*(1+D$98)/($A99-D$98))/(1+$A99)^$G$65-$B$33)/$B$32</f>
        <v>145.66128931493296</v>
      </c>
      <c r="E99" s="31" cm="1">
        <f t="array" ref="E99">(SUMPRODUCT($C$64:$G$64,1/(1+$A99)^$C$65:$G$65)+($G$64*(1+E$98)/($A99-E$98))/(1+$A99)^$G$65-$B$33)/$B$32</f>
        <v>157.77894849216497</v>
      </c>
      <c r="F99" s="31" cm="1">
        <f t="array" ref="F99">(SUMPRODUCT($C$64:$G$64,1/(1+$A99)^$C$65:$G$65)+($G$64*(1+F$98)/($A99-F$98))/(1+$A99)^$G$65-$B$33)/$B$32</f>
        <v>172.40543979718828</v>
      </c>
    </row>
    <row r="100" spans="1:7" x14ac:dyDescent="0.2">
      <c r="A100" s="29">
        <v>0.1033</v>
      </c>
      <c r="B100" s="31" cm="1">
        <f t="array" ref="B100">(SUMPRODUCT($C$64:$G$64,1/(1+$A100)^$C$65:$G$65)+($G$64*(1+B$98)/($A100-B$98))/(1+$A100)^$G$65-$B$33)/$B$32</f>
        <v>108.61446993039829</v>
      </c>
      <c r="C100" s="31" cm="1">
        <f t="array" ref="C100">(SUMPRODUCT($C$64:$G$64,1/(1+$A100)^$C$65:$G$65)+($G$64*(1+C$98)/($A100-C$98))/(1+$A100)^$G$65-$B$33)/$B$32</f>
        <v>114.94050623698433</v>
      </c>
      <c r="D100" s="31" cm="1">
        <f t="array" ref="D100">(SUMPRODUCT($C$64:$G$64,1/(1+$A100)^$C$65:$G$65)+($G$64*(1+D$98)/($A100-D$98))/(1+$A100)^$G$65-$B$33)/$B$32</f>
        <v>122.19275576561806</v>
      </c>
      <c r="E100" s="31" cm="1">
        <f t="array" ref="E100">(SUMPRODUCT($C$64:$G$64,1/(1+$A100)^$C$65:$G$65)+($G$64*(1+E$98)/($A100-E$98))/(1+$A100)^$G$65-$B$33)/$B$32</f>
        <v>130.59070032247203</v>
      </c>
      <c r="F100" s="31" cm="1">
        <f t="array" ref="F100">(SUMPRODUCT($C$64:$G$64,1/(1+$A100)^$C$65:$G$65)+($G$64*(1+F$98)/($A100-F$98))/(1+$A100)^$G$65-$B$33)/$B$32</f>
        <v>140.42911564379489</v>
      </c>
    </row>
    <row r="101" spans="1:7" x14ac:dyDescent="0.2">
      <c r="A101" s="29">
        <v>0.1133</v>
      </c>
      <c r="B101" s="31" cm="1">
        <f t="array" ref="B101">(SUMPRODUCT($C$64:$G$64,1/(1+$A101)^$C$65:$G$65)+($G$64*(1+B$98)/($A101-B$98))/(1+$A101)^$G$65-$B$33)/$B$32</f>
        <v>94.606174521323211</v>
      </c>
      <c r="C101" s="31" cm="1">
        <f t="array" ref="C101">(SUMPRODUCT($C$64:$G$64,1/(1+$A101)^$C$65:$G$65)+($G$64*(1+C$98)/($A101-C$98))/(1+$A101)^$G$65-$B$33)/$B$32</f>
        <v>99.367384643896344</v>
      </c>
      <c r="D101" s="36" cm="1">
        <f t="array" ref="D101">(SUMPRODUCT($C$64:$G$64,1/(1+$A101)^$C$65:$G$65)+($G$64*(1+D$98)/($A101-D$98))/(1+$A101)^$G$65-$B$33)/$B$32</f>
        <v>104.73666757905869</v>
      </c>
      <c r="E101" s="31" cm="1">
        <f t="array" ref="E101">(SUMPRODUCT($C$64:$G$64,1/(1+$A101)^$C$65:$G$65)+($G$64*(1+E$98)/($A101-E$98))/(1+$A101)^$G$65-$B$33)/$B$32</f>
        <v>110.83845841806304</v>
      </c>
      <c r="F101" s="31" cm="1">
        <f t="array" ref="F101">(SUMPRODUCT($C$64:$G$64,1/(1+$A101)^$C$65:$G$65)+($G$64*(1+F$98)/($A101-F$98))/(1+$A101)^$G$65-$B$33)/$B$32</f>
        <v>117.8336300534077</v>
      </c>
    </row>
    <row r="102" spans="1:7" x14ac:dyDescent="0.2">
      <c r="A102" s="29">
        <v>0.12330000000000001</v>
      </c>
      <c r="B102" s="31" cm="1">
        <f t="array" ref="B102">(SUMPRODUCT($C$64:$G$64,1/(1+$A102)^$C$65:$G$65)+($G$64*(1+B$98)/($A102-B$98))/(1+$A102)^$G$65-$B$33)/$B$32</f>
        <v>83.4637692752829</v>
      </c>
      <c r="C102" s="31" cm="1">
        <f t="array" ref="C102">(SUMPRODUCT($C$64:$G$64,1/(1+$A102)^$C$65:$G$65)+($G$64*(1+C$98)/($A102-C$98))/(1+$A102)^$G$65-$B$33)/$B$32</f>
        <v>87.148058300458061</v>
      </c>
      <c r="D102" s="31" cm="1">
        <f t="array" ref="D102">(SUMPRODUCT($C$64:$G$64,1/(1+$A102)^$C$65:$G$65)+($G$64*(1+D$98)/($A102-D$98))/(1+$A102)^$G$65-$B$33)/$B$32</f>
        <v>91.249594100851226</v>
      </c>
      <c r="E102" s="31" cm="1">
        <f t="array" ref="E102">(SUMPRODUCT($C$64:$G$64,1/(1+$A102)^$C$65:$G$65)+($G$64*(1+E$98)/($A102-E$98))/(1+$A102)^$G$65-$B$33)/$B$32</f>
        <v>95.843511149791027</v>
      </c>
      <c r="F102" s="31" cm="1">
        <f t="array" ref="F102">(SUMPRODUCT($C$64:$G$64,1/(1+$A102)^$C$65:$G$65)+($G$64*(1+F$98)/($A102-F$98))/(1+$A102)^$G$65-$B$33)/$B$32</f>
        <v>101.02413535696067</v>
      </c>
    </row>
    <row r="103" spans="1:7" x14ac:dyDescent="0.2">
      <c r="A103" s="29">
        <v>0.1333</v>
      </c>
      <c r="B103" s="31" cm="1">
        <f t="array" ref="B103">(SUMPRODUCT($C$64:$G$64,1/(1+$A103)^$C$65:$G$65)+($G$64*(1+B$98)/($A103-B$98))/(1+$A103)^$G$65-$B$33)/$B$32</f>
        <v>74.392752423268874</v>
      </c>
      <c r="C103" s="31" cm="1">
        <f t="array" ref="C103">(SUMPRODUCT($C$64:$G$64,1/(1+$A103)^$C$65:$G$65)+($G$64*(1+C$98)/($A103-C$98))/(1+$A103)^$G$65-$B$33)/$B$32</f>
        <v>77.307920210236304</v>
      </c>
      <c r="D103" s="31" cm="1">
        <f t="array" ref="D103">(SUMPRODUCT($C$64:$G$64,1/(1+$A103)^$C$65:$G$65)+($G$64*(1+D$98)/($A103-D$98))/(1+$A103)^$G$65-$B$33)/$B$32</f>
        <v>80.519646266478119</v>
      </c>
      <c r="E103" s="31" cm="1">
        <f t="array" ref="E103">(SUMPRODUCT($C$64:$G$64,1/(1+$A103)^$C$65:$G$65)+($G$64*(1+E$98)/($A103-E$98))/(1+$A103)^$G$65-$B$33)/$B$32</f>
        <v>84.075608770334341</v>
      </c>
      <c r="F103" s="31" cm="1">
        <f t="array" ref="F103">(SUMPRODUCT($C$64:$G$64,1/(1+$A103)^$C$65:$G$65)+($G$64*(1+F$98)/($A103-F$98))/(1+$A103)^$G$65-$B$33)/$B$32</f>
        <v>88.03428503453658</v>
      </c>
    </row>
    <row r="105" spans="1:7" x14ac:dyDescent="0.2">
      <c r="A105" s="17" t="s">
        <v>106</v>
      </c>
    </row>
    <row r="106" spans="1:7" x14ac:dyDescent="0.2">
      <c r="A106" s="28" t="s">
        <v>107</v>
      </c>
      <c r="B106" s="30">
        <v>14</v>
      </c>
      <c r="C106" s="30">
        <v>16</v>
      </c>
      <c r="D106" s="30">
        <v>18</v>
      </c>
      <c r="E106" s="30">
        <v>20</v>
      </c>
      <c r="F106" s="30">
        <v>22</v>
      </c>
    </row>
    <row r="107" spans="1:7" x14ac:dyDescent="0.2">
      <c r="A107" s="29">
        <v>9.3299999999999994E-2</v>
      </c>
      <c r="B107" s="32" cm="1">
        <f t="array" ref="B107">(SUMPRODUCT($C$64:$G$64,1/(1+$A107)^$C$65:$G$65)+($G$58+$G$61)*B$106/(1+$A107)^$G$65-$B$33)/$B$32</f>
        <v>141.79703534253869</v>
      </c>
      <c r="C107" s="33" cm="1">
        <f t="array" ref="C107">(SUMPRODUCT($C$64:$G$64,1/(1+$A107)^$C$65:$G$65)+($G$58+$G$61)*C$106/(1+$A107)^$G$65-$B$33)/$B$32</f>
        <v>158.71443569014946</v>
      </c>
      <c r="D107" s="33" cm="1">
        <f t="array" ref="D107">(SUMPRODUCT($C$64:$G$64,1/(1+$A107)^$C$65:$G$65)+($G$58+$G$61)*D$106/(1+$A107)^$G$65-$B$33)/$B$32</f>
        <v>175.63183603776022</v>
      </c>
      <c r="E107" s="33" cm="1">
        <f t="array" ref="E107">(SUMPRODUCT($C$64:$G$64,1/(1+$A107)^$C$65:$G$65)+($G$58+$G$61)*E$106/(1+$A107)^$G$65-$B$33)/$B$32</f>
        <v>192.54923638537093</v>
      </c>
      <c r="F107" s="33" cm="1">
        <f t="array" ref="F107">(SUMPRODUCT($C$64:$G$64,1/(1+$A107)^$C$65:$G$65)+($G$58+$G$61)*F$106/(1+$A107)^$G$65-$B$33)/$B$32</f>
        <v>209.4666367329817</v>
      </c>
    </row>
    <row r="108" spans="1:7" x14ac:dyDescent="0.2">
      <c r="A108" s="29">
        <v>0.1033</v>
      </c>
      <c r="B108" s="34" cm="1">
        <f t="array" ref="B108">(SUMPRODUCT($C$64:$G$64,1/(1+$A108)^$C$65:$G$65)+($G$58+$G$61)*B$106/(1+$A108)^$G$65-$B$33)/$B$32</f>
        <v>135.60791294463374</v>
      </c>
      <c r="C108" s="32" cm="1">
        <f t="array" ref="C108">(SUMPRODUCT($C$64:$G$64,1/(1+$A108)^$C$65:$G$65)+($G$58+$G$61)*C$106/(1+$A108)^$G$65-$B$33)/$B$32</f>
        <v>151.77241298199186</v>
      </c>
      <c r="D108" s="32" cm="1">
        <f t="array" ref="D108">(SUMPRODUCT($C$64:$G$64,1/(1+$A108)^$C$65:$G$65)+($G$58+$G$61)*D$106/(1+$A108)^$G$65-$B$33)/$B$32</f>
        <v>167.93691301935004</v>
      </c>
      <c r="E108" s="32" cm="1">
        <f t="array" ref="E108">(SUMPRODUCT($C$64:$G$64,1/(1+$A108)^$C$65:$G$65)+($G$58+$G$61)*E$106/(1+$A108)^$G$65-$B$33)/$B$32</f>
        <v>184.1014130567082</v>
      </c>
      <c r="F108" s="32" cm="1">
        <f t="array" ref="F108">(SUMPRODUCT($C$64:$G$64,1/(1+$A108)^$C$65:$G$65)+($G$58+$G$61)*F$106/(1+$A108)^$G$65-$B$33)/$B$32</f>
        <v>200.26591309406632</v>
      </c>
      <c r="G108" s="30">
        <v>22</v>
      </c>
    </row>
    <row r="109" spans="1:7" x14ac:dyDescent="0.2">
      <c r="A109" s="29">
        <v>0.1133</v>
      </c>
      <c r="B109" s="35" cm="1">
        <f t="array" ref="B109">(SUMPRODUCT($C$64:$G$64,1/(1+$A109)^$C$65:$G$65)+($G$58+$G$61)*B$106/(1+$A109)^$G$65-$B$33)/$B$32</f>
        <v>129.73589055748093</v>
      </c>
      <c r="C109" s="32" cm="1">
        <f t="array" ref="C109">(SUMPRODUCT($C$64:$G$64,1/(1+$A109)^$C$65:$G$65)+($G$58+$G$61)*C$106/(1+$A109)^$G$65-$B$33)/$B$32</f>
        <v>145.18734344800907</v>
      </c>
      <c r="D109" s="37" cm="1">
        <f t="array" ref="D109">(SUMPRODUCT($C$64:$G$64,1/(1+$A109)^$C$65:$G$65)+($G$58+$G$61)*D$106/(1+$A109)^$G$65-$B$33)/$B$32</f>
        <v>160.63879633853722</v>
      </c>
      <c r="E109" s="32" cm="1">
        <f t="array" ref="E109">(SUMPRODUCT($C$64:$G$64,1/(1+$A109)^$C$65:$G$65)+($G$58+$G$61)*E$106/(1+$A109)^$G$65-$B$33)/$B$32</f>
        <v>176.09024922906534</v>
      </c>
      <c r="F109" s="32" cm="1">
        <f t="array" ref="F109">(SUMPRODUCT($C$64:$G$64,1/(1+$A109)^$C$65:$G$65)+($G$58+$G$61)*F$106/(1+$A109)^$G$65-$B$33)/$B$32</f>
        <v>191.54170211959345</v>
      </c>
    </row>
    <row r="110" spans="1:7" x14ac:dyDescent="0.2">
      <c r="A110" s="29">
        <v>0.12330000000000001</v>
      </c>
      <c r="B110" s="35" cm="1">
        <f t="array" ref="B110">(SUMPRODUCT($C$64:$G$64,1/(1+$A110)^$C$65:$G$65)+($G$58+$G$61)*B$106/(1+$A110)^$G$65-$B$33)/$B$32</f>
        <v>124.16188301889386</v>
      </c>
      <c r="C110" s="32" cm="1">
        <f t="array" ref="C110">(SUMPRODUCT($C$64:$G$64,1/(1+$A110)^$C$65:$G$65)+($G$58+$G$61)*C$106/(1+$A110)^$G$65-$B$33)/$B$32</f>
        <v>138.93770237871516</v>
      </c>
      <c r="D110" s="32" cm="1">
        <f t="array" ref="D110">(SUMPRODUCT($C$64:$G$64,1/(1+$A110)^$C$65:$G$65)+($G$58+$G$61)*D$106/(1+$A110)^$G$65-$B$33)/$B$32</f>
        <v>153.71352173853649</v>
      </c>
      <c r="E110" s="32" cm="1">
        <f t="array" ref="E110">(SUMPRODUCT($C$64:$G$64,1/(1+$A110)^$C$65:$G$65)+($G$58+$G$61)*E$106/(1+$A110)^$G$65-$B$33)/$B$32</f>
        <v>168.48934109835778</v>
      </c>
      <c r="F110" s="32" cm="1">
        <f t="array" ref="F110">(SUMPRODUCT($C$64:$G$64,1/(1+$A110)^$C$65:$G$65)+($G$58+$G$61)*F$106/(1+$A110)^$G$65-$B$33)/$B$32</f>
        <v>183.26516045817908</v>
      </c>
    </row>
    <row r="111" spans="1:7" x14ac:dyDescent="0.2">
      <c r="A111" s="29">
        <v>0.1333</v>
      </c>
      <c r="B111" s="35" cm="1">
        <f t="array" ref="B111">(SUMPRODUCT($C$64:$G$64,1/(1+$A111)^$C$65:$G$65)+($G$58+$G$61)*B$106/(1+$A111)^$G$65-$B$33)/$B$32</f>
        <v>118.86811506986774</v>
      </c>
      <c r="C111" s="32" cm="1">
        <f t="array" ref="C111">(SUMPRODUCT($C$64:$G$64,1/(1+$A111)^$C$65:$G$65)+($G$58+$G$61)*C$106/(1+$A111)^$G$65-$B$33)/$B$32</f>
        <v>133.00344415031626</v>
      </c>
      <c r="D111" s="32" cm="1">
        <f t="array" ref="D111">(SUMPRODUCT($C$64:$G$64,1/(1+$A111)^$C$65:$G$65)+($G$58+$G$61)*D$106/(1+$A111)^$G$65-$B$33)/$B$32</f>
        <v>147.13877323076477</v>
      </c>
      <c r="E111" s="32" cm="1">
        <f t="array" ref="E111">(SUMPRODUCT($C$64:$G$64,1/(1+$A111)^$C$65:$G$65)+($G$58+$G$61)*E$106/(1+$A111)^$G$65-$B$33)/$B$32</f>
        <v>161.27410231121328</v>
      </c>
      <c r="F111" s="32" cm="1">
        <f t="array" ref="F111">(SUMPRODUCT($C$64:$G$64,1/(1+$A111)^$C$65:$G$65)+($G$58+$G$61)*F$106/(1+$A111)^$G$65-$B$33)/$B$32</f>
        <v>175.40943139166177</v>
      </c>
    </row>
    <row r="112" spans="1:7" x14ac:dyDescent="0.2">
      <c r="B112" s="29">
        <v>0.12330000000000001</v>
      </c>
    </row>
    <row r="113" spans="2:2" x14ac:dyDescent="0.2">
      <c r="B113" s="29">
        <v>0.1333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Data</vt:lpstr>
      <vt:lpstr>DCF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Choudhary, Nihaal</cp:lastModifiedBy>
  <dcterms:created xsi:type="dcterms:W3CDTF">2018-06-07T17:34:22Z</dcterms:created>
  <dcterms:modified xsi:type="dcterms:W3CDTF">2026-06-05T02:09:49Z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